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rry\Documents\GitHub\Vital-link-hardware\BOM\"/>
    </mc:Choice>
  </mc:AlternateContent>
  <xr:revisionPtr revIDLastSave="0" documentId="13_ncr:1_{D5FE9DDB-8070-4A0B-B601-81B714D14F7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 l="1"/>
  <c r="H13" i="1"/>
  <c r="H12" i="1"/>
  <c r="H11" i="1"/>
  <c r="F21" i="1" l="1"/>
  <c r="F22" i="1" s="1"/>
  <c r="F23" i="1" s="1"/>
</calcChain>
</file>

<file path=xl/sharedStrings.xml><?xml version="1.0" encoding="utf-8"?>
<sst xmlns="http://schemas.openxmlformats.org/spreadsheetml/2006/main" count="44" uniqueCount="44">
  <si>
    <t>BOM #:</t>
  </si>
  <si>
    <t>Group:</t>
  </si>
  <si>
    <t>Multi-Sensor Health Monitoring System</t>
  </si>
  <si>
    <t>Names:</t>
  </si>
  <si>
    <t>Zhuo, Parry</t>
  </si>
  <si>
    <t>Purohit, Jishiv</t>
  </si>
  <si>
    <t>Brar, Akashdeep</t>
  </si>
  <si>
    <t>Inguito, Ryan</t>
  </si>
  <si>
    <t>Mentor:</t>
  </si>
  <si>
    <t>Bob Gill</t>
  </si>
  <si>
    <t>Address:</t>
  </si>
  <si>
    <t>BCIT SW1-3069</t>
  </si>
  <si>
    <t>#</t>
  </si>
  <si>
    <t>Link</t>
  </si>
  <si>
    <t>Manufacturer Part Number</t>
  </si>
  <si>
    <t>Description</t>
  </si>
  <si>
    <t>Quantity</t>
  </si>
  <si>
    <t>Shipping Price</t>
  </si>
  <si>
    <t>Unit Price</t>
  </si>
  <si>
    <t>Cost</t>
  </si>
  <si>
    <t>Notes</t>
  </si>
  <si>
    <t>SUBTOTAL</t>
  </si>
  <si>
    <t>TAX (12%)</t>
  </si>
  <si>
    <t>TOTAL</t>
  </si>
  <si>
    <t>ECG specific board</t>
  </si>
  <si>
    <t>https://www.aliexpress.com/item/1005009180943063.html?spm=a2g0o.productlist.main.9.21915c61oF6QAf&amp;algo_pvid=5f32d17c-5085-463e-bf55-f579c014c13a&amp;algo_exp_id=5f32d17c-5085-463e-bf55-f579c014c13a-8&amp;pdp_ext_f=%7B%22order%22%3A%22132%22%2C%22spu_best_type%22%3A%22order%22%2C%22eval%22%3A%221%22%2C%22fromPage%22%3A%22search%22%7D&amp;pdp_npi=6%40dis!CAD!9.78!4.79!!!47.86!23.45!%402103129017688064390718772ebb33!12000048217403188!sea!CA!3114729883!ACX!1!0!n_tag%3A-29919%3Bd%3A5279d241%3Bm03_new_user%3A-29894&amp;curPageLogUid=4L9aGEGiNkMr&amp;utparam-url=scene%3Asearch%7Cquery_from%3A%7Cx_object_id%3A1005009180943063%7C_p_origin_prod%3A#nav-review</t>
  </si>
  <si>
    <t>80mAh Lithium battery</t>
  </si>
  <si>
    <t>1Piece 3.7V 80mAh 501220 Rechargeable Lithium Battery For Headsets 3D Glasses Sports Bracelets More Gadgets</t>
  </si>
  <si>
    <t>https://www.mouser.ca/ProductDetail/Analog-Devices-Maxim-Integrated/MAX30003WING?qs=55YtniHzbhB8FzqvuARmyw%3D%3D</t>
  </si>
  <si>
    <t>MAX30003WING#</t>
  </si>
  <si>
    <t>Data Conversion IC Development Tools ECG AFE feather board</t>
  </si>
  <si>
    <t>https://www.mouser.ca/ProductDetail/SparkFun/SEN-12969?qs=WyAARYrbSnaajKSHkjOGnw%3D%3D&amp;srsltid=AfmBOopLlhnPtYg_Z8E7CQDvXOVRvZXciZKFLqnQvesH_fLeNzKnnWjU</t>
  </si>
  <si>
    <t>SEN-12969</t>
  </si>
  <si>
    <t>Biometric Sensors Disposable Surface EMG/ECG/EKG Electrode - 24mm (10 pack)</t>
  </si>
  <si>
    <t>https://www.alibaba.com/product-detail/3-Feet-Standard-4-0mm-Female_1600464585377.html?spm=a2700.details.you_may_like.2.38db2c99CN4RWw</t>
  </si>
  <si>
    <t>QB-24031121</t>
  </si>
  <si>
    <t>3 feet 4.0mm female ECG snap buttons</t>
  </si>
  <si>
    <t>https://www.alibaba.com/product-detail/3-Claw-4-0-Medical-Electrode_1601678125336.html?spm=a2700.prosearch.normal_offer.d_title.5b2d67afx0eMoD&amp;priceId=5565a05ffcc44744bc23fdbad2025240</t>
  </si>
  <si>
    <t>3-Claw 4.0 Medical Electrode Snap Easy-to-solder PCB ECG</t>
  </si>
  <si>
    <t>S-26011001</t>
  </si>
  <si>
    <t>The main focus on this BOM is to order components with extended shipping time ( from china)</t>
  </si>
  <si>
    <t>Make sure to press get sample
to allow us to order 10</t>
  </si>
  <si>
    <t>Backup for above with another distributor. 
As well as has longer shipping time</t>
  </si>
  <si>
    <t>3 x 10pack for 0$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</si>
</sst>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0"/>
      <color rgb="FF000000"/>
      <name val="Arial"/>
      <scheme val="minor"/>
    </font>
    <font>
      <sz val="14"/>
      <color rgb="FF000000"/>
      <name val="Arial"/>
    </font>
    <font>
      <sz val="10"/>
      <color rgb="FF000000"/>
      <name val="Arial"/>
    </font>
    <font>
      <sz val="14"/>
      <color rgb="FF000000"/>
      <name val="Calibri"/>
    </font>
    <font>
      <sz val="10"/>
      <name val="Arial"/>
    </font>
    <font>
      <b/>
      <sz val="16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222222"/>
      <name val="Roboto"/>
    </font>
    <font>
      <b/>
      <sz val="14"/>
      <color rgb="FF000000"/>
      <name val="Arial"/>
    </font>
    <font>
      <b/>
      <sz val="14"/>
      <color rgb="FF000000"/>
      <name val="Arial"/>
      <family val="2"/>
    </font>
    <font>
      <sz val="12"/>
      <color rgb="FF333333"/>
      <name val="Arial"/>
      <family val="2"/>
      <scheme val="minor"/>
    </font>
    <font>
      <sz val="10"/>
      <color rgb="FF000000"/>
      <name val="Arial"/>
      <family val="2"/>
    </font>
    <font>
      <sz val="12"/>
      <color rgb="FF333333"/>
      <name val="Arial"/>
      <family val="2"/>
      <scheme val="minor"/>
    </font>
    <font>
      <u/>
      <sz val="10"/>
      <color rgb="FF0000FF"/>
      <name val="Arial"/>
      <family val="2"/>
    </font>
    <font>
      <sz val="14"/>
      <color rgb="FF000000"/>
      <name val="Arial"/>
      <family val="2"/>
    </font>
    <font>
      <u/>
      <sz val="10"/>
      <color theme="10"/>
      <name val="Arial"/>
      <scheme val="minor"/>
    </font>
    <font>
      <sz val="11"/>
      <color rgb="FF222222"/>
      <name val="Roboto"/>
    </font>
    <font>
      <sz val="10"/>
      <color rgb="FF000000"/>
      <name val="Arial"/>
      <family val="2"/>
      <scheme val="minor"/>
    </font>
    <font>
      <sz val="11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9" fillId="0" borderId="1" xfId="0" applyFont="1" applyBorder="1"/>
    <xf numFmtId="0" fontId="6" fillId="0" borderId="5" xfId="0" applyFont="1" applyBorder="1"/>
    <xf numFmtId="0" fontId="14" fillId="0" borderId="5" xfId="0" applyFont="1" applyBorder="1"/>
    <xf numFmtId="0" fontId="9" fillId="0" borderId="2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1" fillId="0" borderId="5" xfId="0" applyFont="1" applyBorder="1" applyAlignment="1">
      <alignment horizontal="left" vertical="center" wrapText="1"/>
    </xf>
    <xf numFmtId="0" fontId="13" fillId="0" borderId="5" xfId="0" applyFont="1" applyBorder="1"/>
    <xf numFmtId="0" fontId="7" fillId="0" borderId="5" xfId="0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8" fillId="2" borderId="5" xfId="0" applyNumberFormat="1" applyFont="1" applyFill="1" applyBorder="1" applyAlignment="1">
      <alignment horizontal="right"/>
    </xf>
    <xf numFmtId="0" fontId="12" fillId="0" borderId="5" xfId="0" applyFont="1" applyBorder="1"/>
    <xf numFmtId="0" fontId="11" fillId="0" borderId="5" xfId="0" applyFont="1" applyBorder="1"/>
    <xf numFmtId="0" fontId="12" fillId="0" borderId="5" xfId="0" applyFont="1" applyBorder="1" applyAlignment="1">
      <alignment wrapText="1"/>
    </xf>
    <xf numFmtId="0" fontId="15" fillId="0" borderId="5" xfId="0" applyFont="1" applyBorder="1" applyAlignment="1">
      <alignment horizontal="right"/>
    </xf>
    <xf numFmtId="0" fontId="0" fillId="0" borderId="5" xfId="0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6" fillId="0" borderId="0" xfId="0" applyFont="1"/>
    <xf numFmtId="0" fontId="17" fillId="0" borderId="5" xfId="0" applyFont="1" applyBorder="1"/>
    <xf numFmtId="0" fontId="18" fillId="0" borderId="5" xfId="0" applyFont="1" applyBorder="1" applyAlignment="1">
      <alignment wrapText="1"/>
    </xf>
    <xf numFmtId="0" fontId="19" fillId="0" borderId="5" xfId="0" applyFont="1" applyBorder="1"/>
    <xf numFmtId="0" fontId="0" fillId="4" borderId="0" xfId="0" applyFill="1" applyAlignment="1">
      <alignment wrapText="1"/>
    </xf>
    <xf numFmtId="0" fontId="16" fillId="0" borderId="5" xfId="1" applyBorder="1"/>
    <xf numFmtId="164" fontId="1" fillId="0" borderId="6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164" fontId="1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164" fontId="9" fillId="0" borderId="3" xfId="0" applyNumberFormat="1" applyFont="1" applyBorder="1" applyAlignment="1">
      <alignment horizontal="center"/>
    </xf>
    <xf numFmtId="0" fontId="10" fillId="3" borderId="0" xfId="0" applyFont="1" applyFill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 vertical="top"/>
    </xf>
    <xf numFmtId="0" fontId="4" fillId="0" borderId="8" xfId="0" applyFont="1" applyBorder="1"/>
    <xf numFmtId="0" fontId="4" fillId="0" borderId="10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12</xdr:row>
      <xdr:rowOff>28575</xdr:rowOff>
    </xdr:from>
    <xdr:to>
      <xdr:col>14</xdr:col>
      <xdr:colOff>314921</xdr:colOff>
      <xdr:row>12</xdr:row>
      <xdr:rowOff>552523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D20C1D-C76E-4DCB-96D2-7527FB74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3075" y="2590800"/>
          <a:ext cx="4267796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baba.com/product-detail/3-Claw-4-0-Medical-Electrode_1601678125336.html?spm=a2700.prosearch.normal_offer.d_title.5b2d67afx0eMoD&amp;priceId=5565a05ffcc44744bc23fdbad2025240" TargetMode="External"/><Relationship Id="rId1" Type="http://schemas.openxmlformats.org/officeDocument/2006/relationships/hyperlink" Target="https://www.alibaba.com/product-detail/3-Feet-Standard-4-0mm-Female_1600464585377.html?spm=a2700.details.you_may_like.2.38db2c99CN4RW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"/>
  <sheetViews>
    <sheetView tabSelected="1" zoomScaleNormal="100" workbookViewId="0">
      <selection activeCell="B2" sqref="B2"/>
    </sheetView>
  </sheetViews>
  <sheetFormatPr defaultColWidth="12.5703125" defaultRowHeight="15.75" customHeight="1" x14ac:dyDescent="0.2"/>
  <cols>
    <col min="1" max="1" width="16.42578125" customWidth="1"/>
    <col min="2" max="2" width="79.140625" customWidth="1"/>
    <col min="3" max="3" width="34.5703125" customWidth="1"/>
    <col min="4" max="4" width="96.42578125" bestFit="1" customWidth="1"/>
    <col min="9" max="9" width="31.42578125" customWidth="1"/>
  </cols>
  <sheetData>
    <row r="1" spans="1:9" ht="15.75" customHeight="1" x14ac:dyDescent="0.25">
      <c r="A1" s="1" t="s">
        <v>0</v>
      </c>
      <c r="B1" s="1">
        <v>2</v>
      </c>
      <c r="C1" s="38" t="s">
        <v>40</v>
      </c>
      <c r="D1" s="38"/>
      <c r="E1" s="38"/>
      <c r="F1" s="38"/>
      <c r="G1" s="38"/>
      <c r="H1" s="2"/>
      <c r="I1" s="2"/>
    </row>
    <row r="2" spans="1:9" ht="28.5" customHeight="1" x14ac:dyDescent="0.3">
      <c r="A2" s="1" t="s">
        <v>1</v>
      </c>
      <c r="B2" s="3" t="s">
        <v>2</v>
      </c>
      <c r="C2" s="38"/>
      <c r="D2" s="38"/>
      <c r="E2" s="38"/>
      <c r="F2" s="38"/>
      <c r="G2" s="38"/>
      <c r="H2" s="2"/>
      <c r="I2" s="2"/>
    </row>
    <row r="3" spans="1:9" ht="15.75" customHeight="1" x14ac:dyDescent="0.25">
      <c r="A3" s="40" t="s">
        <v>3</v>
      </c>
      <c r="B3" s="43" t="s">
        <v>4</v>
      </c>
      <c r="C3" s="2"/>
      <c r="D3" s="2"/>
      <c r="E3" s="2"/>
      <c r="F3" s="2"/>
      <c r="G3" s="2"/>
      <c r="H3" s="2"/>
      <c r="I3" s="2"/>
    </row>
    <row r="4" spans="1:9" ht="15.75" customHeight="1" x14ac:dyDescent="0.25">
      <c r="A4" s="41"/>
      <c r="B4" s="44" t="s">
        <v>5</v>
      </c>
      <c r="D4" s="2"/>
      <c r="E4" s="2"/>
      <c r="F4" s="2"/>
      <c r="G4" s="2"/>
      <c r="H4" s="2"/>
      <c r="I4" s="2"/>
    </row>
    <row r="5" spans="1:9" ht="15.75" customHeight="1" x14ac:dyDescent="0.25">
      <c r="A5" s="41"/>
      <c r="B5" s="44" t="s">
        <v>6</v>
      </c>
      <c r="D5" s="2"/>
      <c r="E5" s="2"/>
      <c r="F5" s="2"/>
      <c r="G5" s="2"/>
      <c r="H5" s="2"/>
      <c r="I5" s="2"/>
    </row>
    <row r="6" spans="1:9" ht="15.75" customHeight="1" x14ac:dyDescent="0.25">
      <c r="A6" s="42"/>
      <c r="B6" s="43" t="s">
        <v>7</v>
      </c>
      <c r="C6" s="2"/>
      <c r="D6" s="2"/>
      <c r="E6" s="2"/>
      <c r="F6" s="2"/>
      <c r="G6" s="2"/>
      <c r="H6" s="2"/>
      <c r="I6" s="2"/>
    </row>
    <row r="7" spans="1:9" ht="15.75" customHeight="1" x14ac:dyDescent="0.25">
      <c r="A7" s="1" t="s">
        <v>8</v>
      </c>
      <c r="B7" s="39" t="s">
        <v>9</v>
      </c>
      <c r="C7" s="2"/>
      <c r="D7" s="2"/>
      <c r="E7" s="2"/>
      <c r="F7" s="2"/>
      <c r="G7" s="2"/>
      <c r="H7" s="2"/>
      <c r="I7" s="2"/>
    </row>
    <row r="8" spans="1:9" ht="15.75" customHeight="1" x14ac:dyDescent="0.25">
      <c r="A8" s="1" t="s">
        <v>10</v>
      </c>
      <c r="B8" s="1" t="s">
        <v>11</v>
      </c>
      <c r="C8" s="2"/>
      <c r="D8" s="2"/>
      <c r="E8" s="2"/>
      <c r="F8" s="2"/>
      <c r="G8" s="2"/>
      <c r="H8" s="2"/>
      <c r="I8" s="2"/>
    </row>
    <row r="9" spans="1:9" ht="15.75" customHeight="1" x14ac:dyDescent="0.25">
      <c r="A9" s="4"/>
      <c r="B9" s="2"/>
      <c r="C9" s="2"/>
      <c r="D9" s="2"/>
      <c r="E9" s="2"/>
      <c r="F9" s="2"/>
      <c r="G9" s="2"/>
      <c r="H9" s="2"/>
      <c r="I9" s="2"/>
    </row>
    <row r="10" spans="1:9" ht="15.75" customHeight="1" x14ac:dyDescent="0.3">
      <c r="A10" s="10" t="s">
        <v>12</v>
      </c>
      <c r="B10" s="10" t="s">
        <v>13</v>
      </c>
      <c r="C10" s="11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20</v>
      </c>
    </row>
    <row r="11" spans="1:9" ht="15.75" customHeight="1" x14ac:dyDescent="0.25">
      <c r="A11" s="12">
        <v>1</v>
      </c>
      <c r="B11" s="7" t="s">
        <v>28</v>
      </c>
      <c r="C11" s="13" t="s">
        <v>29</v>
      </c>
      <c r="D11" s="14" t="s">
        <v>30</v>
      </c>
      <c r="E11" s="15">
        <v>1</v>
      </c>
      <c r="F11" s="16">
        <v>0</v>
      </c>
      <c r="G11" s="17">
        <v>64.81</v>
      </c>
      <c r="H11" s="16">
        <f>(G11*E11)</f>
        <v>64.81</v>
      </c>
      <c r="I11" s="18" t="s">
        <v>24</v>
      </c>
    </row>
    <row r="12" spans="1:9" ht="15.75" customHeight="1" x14ac:dyDescent="0.25">
      <c r="A12" s="12">
        <v>2</v>
      </c>
      <c r="B12" s="7" t="s">
        <v>31</v>
      </c>
      <c r="C12" s="19" t="s">
        <v>32</v>
      </c>
      <c r="D12" s="14" t="s">
        <v>33</v>
      </c>
      <c r="E12" s="15">
        <v>3</v>
      </c>
      <c r="F12" s="16">
        <v>0</v>
      </c>
      <c r="G12" s="16">
        <v>14.83</v>
      </c>
      <c r="H12" s="16">
        <f>(G12*E12)</f>
        <v>44.49</v>
      </c>
      <c r="I12" s="20" t="s">
        <v>43</v>
      </c>
    </row>
    <row r="13" spans="1:9" ht="46.5" customHeight="1" x14ac:dyDescent="0.25">
      <c r="A13" s="21">
        <v>3</v>
      </c>
      <c r="B13" s="30" t="s">
        <v>34</v>
      </c>
      <c r="C13" s="26" t="s">
        <v>35</v>
      </c>
      <c r="D13" s="26" t="s">
        <v>36</v>
      </c>
      <c r="E13" s="22">
        <v>10</v>
      </c>
      <c r="F13" s="22">
        <v>0</v>
      </c>
      <c r="G13" s="22">
        <v>1.39</v>
      </c>
      <c r="H13" s="16">
        <f>(G13*E13)</f>
        <v>13.899999999999999</v>
      </c>
      <c r="I13" s="29" t="s">
        <v>41</v>
      </c>
    </row>
    <row r="14" spans="1:9" ht="39" x14ac:dyDescent="0.25">
      <c r="A14" s="21">
        <v>4</v>
      </c>
      <c r="B14" s="30" t="s">
        <v>37</v>
      </c>
      <c r="C14" s="26" t="s">
        <v>39</v>
      </c>
      <c r="D14" s="26" t="s">
        <v>38</v>
      </c>
      <c r="E14" s="22">
        <v>10</v>
      </c>
      <c r="F14" s="22">
        <v>0</v>
      </c>
      <c r="G14" s="22">
        <v>0.30409999999999998</v>
      </c>
      <c r="H14" s="16">
        <f>(G14*E14)</f>
        <v>3.0409999999999999</v>
      </c>
      <c r="I14" s="27" t="s">
        <v>42</v>
      </c>
    </row>
    <row r="15" spans="1:9" ht="18" x14ac:dyDescent="0.25">
      <c r="A15" s="12">
        <v>4</v>
      </c>
      <c r="B15" s="8" t="s">
        <v>25</v>
      </c>
      <c r="C15" s="28" t="s">
        <v>26</v>
      </c>
      <c r="D15" s="23" t="s">
        <v>27</v>
      </c>
      <c r="E15" s="15">
        <v>5</v>
      </c>
      <c r="F15" s="16">
        <v>5.34</v>
      </c>
      <c r="G15" s="16">
        <v>4.79</v>
      </c>
      <c r="H15" s="16">
        <f>(G15*E15)+F15</f>
        <v>29.29</v>
      </c>
      <c r="I15" s="20"/>
    </row>
    <row r="16" spans="1:9" ht="15.75" customHeight="1" x14ac:dyDescent="0.25">
      <c r="A16" s="12"/>
      <c r="B16" s="7"/>
      <c r="C16" s="24"/>
      <c r="D16" s="23"/>
      <c r="E16" s="15"/>
      <c r="F16" s="16"/>
      <c r="G16" s="16"/>
      <c r="H16" s="16"/>
      <c r="I16" s="23"/>
    </row>
    <row r="17" spans="1:9" ht="15.75" customHeight="1" x14ac:dyDescent="0.25">
      <c r="A17" s="12"/>
      <c r="B17" s="7"/>
      <c r="C17" s="24"/>
      <c r="D17" s="23"/>
      <c r="E17" s="15"/>
      <c r="F17" s="16"/>
      <c r="G17" s="16"/>
      <c r="H17" s="16"/>
      <c r="I17" s="23"/>
    </row>
    <row r="18" spans="1:9" ht="15.75" customHeight="1" x14ac:dyDescent="0.25">
      <c r="A18" s="12"/>
      <c r="B18" s="7"/>
      <c r="C18" s="24"/>
      <c r="D18" s="23"/>
      <c r="E18" s="15"/>
      <c r="F18" s="16"/>
      <c r="G18" s="16"/>
      <c r="H18" s="16"/>
      <c r="I18" s="23"/>
    </row>
    <row r="19" spans="1:9" ht="15.75" customHeight="1" x14ac:dyDescent="0.25">
      <c r="A19" s="12"/>
      <c r="B19" s="7"/>
      <c r="C19" s="24"/>
      <c r="D19" s="23"/>
      <c r="E19" s="15"/>
      <c r="F19" s="16"/>
      <c r="G19" s="16"/>
      <c r="H19" s="16"/>
      <c r="I19" s="23"/>
    </row>
    <row r="20" spans="1:9" ht="15.75" customHeight="1" x14ac:dyDescent="0.25">
      <c r="A20" s="12"/>
      <c r="B20" s="7"/>
      <c r="C20" s="24"/>
      <c r="D20" s="23"/>
      <c r="E20" s="15"/>
      <c r="F20" s="16"/>
      <c r="G20" s="16"/>
      <c r="H20" s="16"/>
      <c r="I20" s="23"/>
    </row>
    <row r="21" spans="1:9" ht="15.75" customHeight="1" x14ac:dyDescent="0.25">
      <c r="A21" s="4"/>
      <c r="B21" s="25"/>
      <c r="C21" s="5"/>
      <c r="D21" s="4"/>
      <c r="E21" s="9" t="s">
        <v>21</v>
      </c>
      <c r="F21" s="31">
        <f>SUM(H11:H20)</f>
        <v>155.53100000000001</v>
      </c>
      <c r="G21" s="32"/>
      <c r="H21" s="33"/>
      <c r="I21" s="4"/>
    </row>
    <row r="22" spans="1:9" ht="15.75" customHeight="1" x14ac:dyDescent="0.25">
      <c r="A22" s="4"/>
      <c r="B22" s="25"/>
      <c r="C22" s="5"/>
      <c r="D22" s="4"/>
      <c r="E22" s="6" t="s">
        <v>22</v>
      </c>
      <c r="F22" s="34">
        <f>F21*0.12</f>
        <v>18.663720000000001</v>
      </c>
      <c r="G22" s="35"/>
      <c r="H22" s="36"/>
      <c r="I22" s="4"/>
    </row>
    <row r="23" spans="1:9" ht="15.75" customHeight="1" x14ac:dyDescent="0.25">
      <c r="A23" s="4"/>
      <c r="B23" s="25"/>
      <c r="C23" s="5"/>
      <c r="D23" s="4"/>
      <c r="E23" s="6" t="s">
        <v>23</v>
      </c>
      <c r="F23" s="37">
        <f>SUM(F21:H22)</f>
        <v>174.19472000000002</v>
      </c>
      <c r="G23" s="35"/>
      <c r="H23" s="36"/>
      <c r="I23" s="4"/>
    </row>
    <row r="24" spans="1:9" ht="15.75" customHeight="1" x14ac:dyDescent="0.25">
      <c r="A24" s="4"/>
      <c r="B24" s="25"/>
      <c r="C24" s="5"/>
      <c r="D24" s="4"/>
      <c r="E24" s="4"/>
      <c r="F24" s="4"/>
      <c r="G24" s="4"/>
      <c r="H24" s="4"/>
      <c r="I24" s="4"/>
    </row>
    <row r="25" spans="1:9" ht="15.75" customHeight="1" x14ac:dyDescent="0.2">
      <c r="B25" s="25"/>
    </row>
    <row r="26" spans="1:9" ht="15.75" customHeight="1" x14ac:dyDescent="0.2">
      <c r="B26" s="25"/>
    </row>
    <row r="27" spans="1:9" ht="15.75" customHeight="1" x14ac:dyDescent="0.2">
      <c r="B27" s="25"/>
    </row>
    <row r="28" spans="1:9" ht="15.75" customHeight="1" x14ac:dyDescent="0.2">
      <c r="B28" s="25"/>
    </row>
    <row r="29" spans="1:9" ht="15.75" customHeight="1" x14ac:dyDescent="0.2">
      <c r="B29" s="25"/>
    </row>
  </sheetData>
  <mergeCells count="5">
    <mergeCell ref="A3:A6"/>
    <mergeCell ref="F21:H21"/>
    <mergeCell ref="F22:H22"/>
    <mergeCell ref="F23:H23"/>
    <mergeCell ref="C1:G2"/>
  </mergeCells>
  <hyperlinks>
    <hyperlink ref="B13" r:id="rId1" xr:uid="{98C796B6-F63D-4346-9A15-BA0EC73DC79F}"/>
    <hyperlink ref="B14" r:id="rId2" xr:uid="{74A51A80-5BC3-4785-BCB5-F8B6A6761DA5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</dc:creator>
  <cp:lastModifiedBy>Parry Zhuo</cp:lastModifiedBy>
  <dcterms:created xsi:type="dcterms:W3CDTF">2025-10-30T21:13:03Z</dcterms:created>
  <dcterms:modified xsi:type="dcterms:W3CDTF">2026-01-27T03:30:37Z</dcterms:modified>
</cp:coreProperties>
</file>