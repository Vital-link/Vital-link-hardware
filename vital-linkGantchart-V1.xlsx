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Parry\Documents\GitHub\Vital-link-hardware\"/>
    </mc:Choice>
  </mc:AlternateContent>
  <xr:revisionPtr revIDLastSave="0" documentId="8_{551E926E-6152-4EE0-9778-A9D16222AD0F}" xr6:coauthVersionLast="47" xr6:coauthVersionMax="47" xr10:uidLastSave="{00000000-0000-0000-0000-000000000000}"/>
  <bookViews>
    <workbookView xWindow="-120" yWindow="-120" windowWidth="29040" windowHeight="15840" activeTab="3" xr2:uid="{00000000-000D-0000-FFFF-FFFF00000000}"/>
  </bookViews>
  <sheets>
    <sheet name="Chart3" sheetId="15" r:id="rId1"/>
    <sheet name="Chart2" sheetId="14" r:id="rId2"/>
    <sheet name="Chart1" sheetId="13" r:id="rId3"/>
    <sheet name="GanttChart" sheetId="9" r:id="rId4"/>
    <sheet name="GanttChartPro" sheetId="12" r:id="rId5"/>
    <sheet name="Help" sheetId="6" r:id="rId6"/>
    <sheet name="TermsOfUse" sheetId="11" r:id="rId7"/>
  </sheets>
  <definedNames>
    <definedName name="prevWBS" localSheetId="3">GanttChart!$A1048576</definedName>
    <definedName name="_xlnm.Print_Area" localSheetId="3">GanttChart!$A$1:$BN$55</definedName>
    <definedName name="_xlnm.Print_Area" localSheetId="4">GanttChartPro!$A$1:$C$47</definedName>
    <definedName name="_xlnm.Print_Titles" localSheetId="3">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9" l="1"/>
  <c r="F36" i="9"/>
  <c r="F42" i="9"/>
  <c r="H42" i="9"/>
  <c r="H51" i="9"/>
  <c r="H52" i="9"/>
  <c r="H53" i="9"/>
  <c r="F51" i="9"/>
  <c r="F52" i="9"/>
  <c r="F53" i="9"/>
  <c r="H50" i="9"/>
  <c r="F56" i="9"/>
  <c r="H57" i="9"/>
  <c r="F57" i="9"/>
  <c r="H56" i="9"/>
  <c r="H55" i="9"/>
  <c r="F55" i="9"/>
  <c r="H15" i="9"/>
  <c r="H17" i="9"/>
  <c r="H11" i="9"/>
  <c r="H12" i="9"/>
  <c r="H14" i="9"/>
  <c r="H20" i="9"/>
  <c r="H22" i="9"/>
  <c r="H23" i="9"/>
  <c r="H25" i="9"/>
  <c r="H27" i="9"/>
  <c r="H28" i="9"/>
  <c r="H29" i="9"/>
  <c r="H31" i="9"/>
  <c r="H32" i="9"/>
  <c r="H33" i="9"/>
  <c r="H34" i="9"/>
  <c r="H35" i="9"/>
  <c r="H37" i="9"/>
  <c r="H38" i="9"/>
  <c r="H39" i="9"/>
  <c r="H41" i="9"/>
  <c r="H43" i="9"/>
  <c r="H44" i="9"/>
  <c r="H46" i="9"/>
  <c r="H47" i="9"/>
  <c r="H48" i="9"/>
  <c r="F31" i="9"/>
  <c r="F32" i="9"/>
  <c r="F33" i="9"/>
  <c r="F34" i="9"/>
  <c r="H9" i="9"/>
  <c r="F27" i="9" l="1"/>
  <c r="F28" i="9"/>
  <c r="F17" i="9"/>
  <c r="F46" i="9"/>
  <c r="F47" i="9"/>
  <c r="F48" i="9"/>
  <c r="F25" i="9"/>
  <c r="F23" i="9"/>
  <c r="F22" i="9"/>
  <c r="F11" i="9"/>
  <c r="F12" i="9"/>
  <c r="A66" i="9"/>
  <c r="F62" i="9" l="1"/>
  <c r="F63" i="9" s="1"/>
  <c r="I63" i="9" s="1"/>
  <c r="F61" i="9"/>
  <c r="I61" i="9" s="1"/>
  <c r="F64" i="9" l="1"/>
  <c r="I64" i="9" s="1"/>
  <c r="I62" i="9"/>
  <c r="F9" i="9" l="1"/>
  <c r="K6" i="9"/>
  <c r="K7" i="9" l="1"/>
  <c r="K4" i="9"/>
  <c r="A8" i="9"/>
  <c r="A9" i="9" s="1"/>
  <c r="A10" i="9" s="1"/>
  <c r="A11" i="9" s="1"/>
  <c r="A12" i="9" s="1"/>
  <c r="A13" i="9" s="1"/>
  <c r="A14" i="9" s="1"/>
  <c r="A15" i="9" s="1"/>
  <c r="A61" i="9"/>
  <c r="A62" i="9" s="1"/>
  <c r="A63" i="9" s="1"/>
  <c r="A16" i="9" l="1"/>
  <c r="A17" i="9" s="1"/>
  <c r="A64" i="9"/>
  <c r="A65" i="9" s="1"/>
  <c r="F14" i="9"/>
  <c r="F15" i="9" l="1"/>
  <c r="L6" i="9" l="1"/>
  <c r="F20" i="9" l="1"/>
  <c r="F35" i="9"/>
  <c r="F41" i="9"/>
  <c r="M6" i="9"/>
  <c r="F37" i="9"/>
  <c r="F43" i="9" l="1"/>
  <c r="N6" i="9"/>
  <c r="F44" i="9" l="1"/>
  <c r="F38" i="9"/>
  <c r="O6" i="9"/>
  <c r="K5" i="9"/>
  <c r="F39" i="9" l="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18" i="9" l="1"/>
  <c r="A19" i="9" s="1"/>
  <c r="A20" i="9" s="1"/>
  <c r="A21" i="9" l="1"/>
  <c r="A22" i="9" s="1"/>
  <c r="A23" i="9" s="1"/>
  <c r="A24" i="9" l="1"/>
  <c r="A25" i="9" l="1"/>
  <c r="A26" i="9" s="1"/>
  <c r="A27" i="9" s="1"/>
  <c r="A28" i="9" l="1"/>
  <c r="A29" i="9" l="1"/>
  <c r="A30" i="9" s="1"/>
  <c r="A31" i="9" s="1"/>
  <c r="A32" i="9" s="1"/>
  <c r="A33" i="9" s="1"/>
  <c r="A34" i="9" s="1"/>
  <c r="A35" i="9" s="1"/>
  <c r="A36" i="9" l="1"/>
  <c r="A37" i="9" s="1"/>
  <c r="A38" i="9" s="1"/>
  <c r="A39" i="9" s="1"/>
  <c r="A40" i="9" s="1"/>
  <c r="A41" i="9" s="1"/>
  <c r="A42" i="9" s="1"/>
  <c r="A43" i="9" s="1"/>
  <c r="A44" i="9" s="1"/>
  <c r="A45" i="9" s="1"/>
  <c r="A46" i="9" s="1"/>
  <c r="A47" i="9" s="1"/>
  <c r="A48" i="9" s="1"/>
  <c r="A49" i="9" s="1"/>
  <c r="A50" i="9" s="1"/>
  <c r="A51" i="9" s="1"/>
  <c r="A52" i="9" s="1"/>
  <c r="A53" i="9" s="1"/>
  <c r="A54" i="9" s="1"/>
  <c r="A55" i="9" s="1"/>
  <c r="A56" i="9" s="1"/>
  <c r="A57" i="9" s="1"/>
  <c r="H19" i="9"/>
  <c r="F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<sst xmlns="http://schemas.openxmlformats.org/spreadsheetml/2006/main" count="210" uniqueCount="190">
  <si>
    <t>Vital link</t>
  </si>
  <si>
    <t xml:space="preserve">Project Start Date </t>
  </si>
  <si>
    <t xml:space="preserve">Display Week </t>
  </si>
  <si>
    <r>
      <rPr>
        <i/>
        <u/>
        <sz val="8"/>
        <color theme="1" tint="0.34998626667073579"/>
        <rFont val="Arial"/>
        <family val="2"/>
      </rPr>
      <t>Gantt Chart Template</t>
    </r>
    <r>
      <rPr>
        <i/>
        <sz val="8"/>
        <color theme="1" tint="0.34998626667073579"/>
        <rFont val="Arial"/>
        <family val="2"/>
      </rPr>
      <t xml:space="preserve"> © 2006-2018 by Vertex42.com.</t>
    </r>
  </si>
  <si>
    <t>WBS</t>
  </si>
  <si>
    <t>TASK</t>
  </si>
  <si>
    <t>LEAD</t>
  </si>
  <si>
    <t>PREDECESSOR</t>
  </si>
  <si>
    <t>START</t>
  </si>
  <si>
    <t>END</t>
  </si>
  <si>
    <t>DAYS</t>
  </si>
  <si>
    <t>% DONE</t>
  </si>
  <si>
    <t>WORK DAYS</t>
  </si>
  <si>
    <t>Networking tasks</t>
  </si>
  <si>
    <t>Akash</t>
  </si>
  <si>
    <t>Ryan</t>
  </si>
  <si>
    <t>BLE course</t>
  </si>
  <si>
    <t>Test 1 Basic functionality - send 1KHz sin wave to hub</t>
  </si>
  <si>
    <t>Initiate basic connection to node</t>
  </si>
  <si>
    <t>Rx data continuously</t>
  </si>
  <si>
    <t>Test 2: Advanced functionality</t>
  </si>
  <si>
    <t>Real time Rx from 3+ nodes, with continuous graphs on all 3-10 nodes</t>
  </si>
  <si>
    <t>Test 3: Data Export</t>
  </si>
  <si>
    <t xml:space="preserve">    Have the ability to upload data throughout the day on a set of sensors.</t>
  </si>
  <si>
    <t>HUB/GUI ( turn data into actionable feedback)</t>
  </si>
  <si>
    <t>Research and talk people in industry to better understand how our product
can best help them help patients.</t>
  </si>
  <si>
    <t>Node Management Interface</t>
  </si>
  <si>
    <t xml:space="preserve">    Enable, disable, connect, disconnect, battery life</t>
  </si>
  <si>
    <t xml:space="preserve">    Options to change behaviour of sensors. 
        sampling rate, filtering, additional behaviour of sensors, alert thresh-holds</t>
  </si>
  <si>
    <t>Upload mode</t>
  </si>
  <si>
    <t xml:space="preserve">    upload data from sensors onto hub</t>
  </si>
  <si>
    <t>Derive usable metrics</t>
  </si>
  <si>
    <t xml:space="preserve">    Calculate respiratory rate from ECG</t>
  </si>
  <si>
    <t>Node firmware/sensors</t>
  </si>
  <si>
    <t>Parry</t>
  </si>
  <si>
    <t>Nordic SDK COURSE</t>
  </si>
  <si>
    <t>Accept basic connection</t>
  </si>
  <si>
    <t>Tx data continously</t>
  </si>
  <si>
    <t>Tx data with proper ID system</t>
  </si>
  <si>
    <t>Code temperature sensor</t>
  </si>
  <si>
    <t>Mechanical design( ensure signals can be properly measured)</t>
  </si>
  <si>
    <t>Jishiv</t>
  </si>
  <si>
    <t>Design and think about Ideal form-factors for sensors</t>
  </si>
  <si>
    <t>ECG(chest) - with 3 electrodes</t>
  </si>
  <si>
    <t>Hardware tasks</t>
  </si>
  <si>
    <t>Node PCB</t>
  </si>
  <si>
    <t>Testing</t>
  </si>
  <si>
    <t>Test sensors</t>
  </si>
  <si>
    <t xml:space="preserve">    Test vital signs in varying conditions such as movement, 
    and varying external environments</t>
  </si>
  <si>
    <t xml:space="preserve">    Collect data spanning several days and interpolating results from it</t>
  </si>
  <si>
    <t>Documentation, and Presentation</t>
  </si>
  <si>
    <t>Poster</t>
  </si>
  <si>
    <t>Practice presentation</t>
  </si>
  <si>
    <t>Final documentation of project</t>
  </si>
  <si>
    <t>TEMPLATE ROWS</t>
  </si>
  <si>
    <t>See the Help worksheet to learn how to use these rows. You can hide these rows before printing.</t>
  </si>
  <si>
    <t>[ Level 1 Task or Phase ]</t>
  </si>
  <si>
    <t xml:space="preserve"> . [ Level 2 Task ]</t>
  </si>
  <si>
    <t xml:space="preserve"> . . [ Level 3 Task ]</t>
  </si>
  <si>
    <t xml:space="preserve"> . . . [ Level 4 Task ]</t>
  </si>
  <si>
    <t>d</t>
  </si>
  <si>
    <t>Gantt Chart Template Pro</t>
  </si>
  <si>
    <r>
      <t>Gantt Chart Template Pro</t>
    </r>
    <r>
      <rPr>
        <sz val="10"/>
        <rFont val="Arial"/>
        <family val="2"/>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</si>
  <si>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</si>
  <si>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</si>
  <si>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</si>
  <si>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</si>
  <si>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</si>
  <si>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</si>
  <si>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</si>
  <si>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</si>
  <si>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</si>
  <si>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</si>
  <si>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</si>
  <si>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</si>
  <si>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</si>
  <si>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</si>
  <si>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</si>
  <si>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</si>
  <si>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</si>
  <si>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</si>
  <si>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</si>
  <si>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</si>
  <si>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</si>
  <si>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</si>
  <si>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</si>
  <si>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</si>
  <si>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</si>
  <si>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</si>
  <si>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</si>
  <si>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</si>
  <si>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</si>
  <si>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</si>
  <si>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</si>
  <si>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</si>
  <si>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</si>
  <si>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</si>
  <si>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</si>
  <si>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</si>
  <si>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</si>
  <si>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</si>
  <si>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</si>
  <si>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</si>
  <si>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</si>
  <si>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</si>
  <si>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</si>
  <si>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</si>
  <si>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</si>
  <si>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</si>
  <si>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</si>
  <si>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</si>
  <si>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</si>
  <si>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</si>
  <si>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</si>
  <si>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</si>
  <si>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</si>
  <si>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</si>
  <si>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</si>
  <si>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</si>
  <si>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</si>
  <si>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</si>
  <si>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</si>
  <si>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</si>
  <si>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</si>
  <si>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</si>
  <si>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</si>
  <si>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</si>
  <si>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</si>
  <si>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</si>
  <si>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</si>
  <si>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</si>
  <si>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</si>
  <si>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</si>
  <si>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</si>
  <si>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</si>
  <si>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</si>
  <si>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t>D.</t>
  </si>
  <si>
    <t>Set the Start date to the next Calendar Day after another task's End date.</t>
  </si>
  <si>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</si>
  <si>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</si>
  <si>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t>E.</t>
  </si>
  <si>
    <t>Set the Start date to a number of days before or after another date.</t>
  </si>
  <si>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</si>
  <si>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</si>
  <si>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</si>
  <si>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</si>
  <si>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</si>
  <si>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</si>
  <si>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</si>
  <si>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</si>
  <si>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</si>
  <si>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Entering work days instead of calendar days is a feature of the Pro version. There is nothing in the free version preventing you from entering your own formulas, though.</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</si>
  <si>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</si>
  <si>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</si>
  <si>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r>
      <t xml:space="preserve">How do I change the </t>
    </r>
    <r>
      <rPr>
        <b/>
        <sz val="11"/>
        <color theme="4" tint="-0.249977111117893"/>
        <rFont val="Arial"/>
        <family val="2"/>
      </rPr>
      <t>Print Settings</t>
    </r>
    <r>
      <rPr>
        <sz val="11"/>
        <color theme="4" tint="-0.249977111117893"/>
        <rFont val="Arial"/>
        <family val="2"/>
      </rPr>
      <t>? (Excel 2010, 2013)</t>
    </r>
  </si>
  <si>
    <t>Select the entire range of cells you want to print and go to File &gt; Print Area &gt; Set Print Area. Then go to File &gt; Page Setup or File &gt; Print Preview and adjust the Scaling, Margins, and Page Orientation as desired.</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</si>
  <si>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</si>
  <si>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t>You will need to add columns to the right of the Gantt Chart via copy/paste. Copy and paste the columns in groups of 7. Afterwards, you will also probably need to update the print area.</t>
  </si>
  <si>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</si>
  <si>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</si>
  <si>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</si>
  <si>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</si>
  <si>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</si>
  <si>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</si>
  <si>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</si>
  <si>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</si>
  <si>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I've </t>
    </r>
    <r>
      <rPr>
        <b/>
        <sz val="11"/>
        <color theme="4" tint="-0.249977111117893"/>
        <rFont val="Arial"/>
        <family val="2"/>
      </rPr>
      <t>messed up</t>
    </r>
    <r>
      <rPr>
        <sz val="11"/>
        <color theme="4" tint="-0.249977111117893"/>
        <rFont val="Arial"/>
        <family val="2"/>
      </rPr>
      <t xml:space="preserve"> the chart area somehow. How do I fix it?</t>
    </r>
  </si>
  <si>
    <t>Find a row that works, then copy the cells that make up the gantt chart area from that row into the row that is messed up.</t>
  </si>
  <si>
    <t>© 2006-2018 Vertex42 LLC</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</si>
  <si>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</si>
  <si>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</si>
  <si>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</si>
  <si>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</si>
  <si>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</si>
  <si>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</si>
  <si>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</si>
  <si>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</si>
  <si>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https://www.vertex42.com/licensing/EULA_privateuse.html</t>
  </si>
  <si>
    <t>Derived Metrics Dashboard:
Real-time visualization of "3-5" sensors</t>
  </si>
  <si>
    <t xml:space="preserve">    Derive heart-rate from PPG/ECG signals</t>
  </si>
  <si>
    <t>EMG - with 3 electrodes</t>
  </si>
  <si>
    <t>PPG and temperature</t>
  </si>
  <si>
    <t xml:space="preserve">   Validate sensors with medical equipment from biomedical engineering department</t>
  </si>
  <si>
    <t xml:space="preserve">    Derive temperature</t>
  </si>
  <si>
    <t>Code EMG and initial validation</t>
  </si>
  <si>
    <t>Code ECG and initial validation</t>
  </si>
  <si>
    <t>Code PPG  and initial validation</t>
  </si>
  <si>
    <t>PPG/Temperature sensor PCB</t>
  </si>
  <si>
    <t>1 Lead ECG/EMG PCB</t>
  </si>
  <si>
    <t>Design and implement adjustment behaviour on different nodes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</si>
</sst>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69" x14ac:knownFonts="1">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8"/>
      <color indexed="81"/>
      <name val="Tahoma"/>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b/>
      <sz val="11"/>
      <color rgb="FF000000"/>
      <name val="Arial"/>
      <family val="2"/>
      <scheme val="minor"/>
    </font>
    <font>
      <i/>
      <sz val="8"/>
      <color theme="1" tint="0.34998626667073579"/>
      <name val="Arial"/>
      <family val="2"/>
    </font>
    <font>
      <i/>
      <u/>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b/>
      <sz val="9"/>
      <name val="Arial"/>
      <family val="2"/>
      <scheme val="minor"/>
    </font>
    <font>
      <b/>
      <sz val="9"/>
      <color rgb="FF000000"/>
      <name val="Arial"/>
      <family val="2"/>
      <scheme val="minor"/>
    </font>
    <font>
      <b/>
      <sz val="16"/>
      <color theme="4" tint="-0.249977111117893"/>
      <name val="Arial"/>
      <family val="2"/>
      <scheme val="major"/>
    </font>
  </fonts>
  <fills count="28">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rgb="FF00B05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right/>
      <top style="thin">
        <color indexed="22"/>
      </top>
      <bottom/>
      <diagonal/>
    </border>
  </borders>
  <cellStyleXfs count="44">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5"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cellStyleXfs>
  <cellXfs count="153">
    <xf numFmtId="0" fontId="0" fillId="0" borderId="0" xfId="0"/>
    <xf numFmtId="0" fontId="0" fillId="20" borderId="0" xfId="0" applyFill="1"/>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4" xfId="0" applyFont="1" applyBorder="1"/>
    <xf numFmtId="0" fontId="0" fillId="0" borderId="14" xfId="0" applyBorder="1"/>
    <xf numFmtId="0" fontId="25" fillId="0" borderId="14" xfId="0" applyFont="1" applyBorder="1" applyAlignment="1">
      <alignment horizontal="left" wrapText="1"/>
    </xf>
    <xf numFmtId="0" fontId="4" fillId="0" borderId="14" xfId="0" applyFont="1" applyBorder="1" applyAlignment="1">
      <alignment horizontal="left" wrapText="1"/>
    </xf>
    <xf numFmtId="0" fontId="25" fillId="0" borderId="14" xfId="0" applyFont="1" applyBorder="1" applyAlignment="1">
      <alignment horizontal="left"/>
    </xf>
    <xf numFmtId="0" fontId="3" fillId="0" borderId="0" xfId="0" applyFont="1" applyAlignment="1">
      <alignment wrapText="1"/>
    </xf>
    <xf numFmtId="0" fontId="30" fillId="0" borderId="0" xfId="34" applyFont="1" applyAlignment="1" applyProtection="1"/>
    <xf numFmtId="0" fontId="31" fillId="0" borderId="0" xfId="0" applyFont="1"/>
    <xf numFmtId="0" fontId="32" fillId="0" borderId="0" xfId="0" applyFont="1"/>
    <xf numFmtId="0" fontId="29" fillId="0" borderId="0" xfId="0" applyFont="1"/>
    <xf numFmtId="0" fontId="3" fillId="0" borderId="0" xfId="0" applyFont="1" applyAlignment="1">
      <alignment horizontal="left" vertical="center"/>
    </xf>
    <xf numFmtId="0" fontId="2" fillId="0" borderId="0" xfId="34" applyAlignment="1" applyProtection="1">
      <alignment horizontal="left"/>
    </xf>
    <xf numFmtId="0" fontId="0" fillId="0" borderId="0" xfId="0" applyProtection="1">
      <protection locked="0"/>
    </xf>
    <xf numFmtId="0" fontId="28" fillId="0" borderId="0" xfId="0" applyFont="1" applyAlignment="1">
      <alignment vertical="center"/>
    </xf>
    <xf numFmtId="0" fontId="25" fillId="0" borderId="15" xfId="0" applyFont="1" applyBorder="1" applyAlignment="1">
      <alignment horizontal="left" wrapText="1"/>
    </xf>
    <xf numFmtId="0" fontId="26" fillId="0" borderId="14" xfId="34" applyFont="1" applyBorder="1" applyAlignment="1" applyProtection="1">
      <alignment horizontal="left" wrapText="1"/>
    </xf>
    <xf numFmtId="0" fontId="33" fillId="0" borderId="15" xfId="34" applyFont="1" applyBorder="1" applyAlignment="1" applyProtection="1">
      <alignment wrapText="1"/>
    </xf>
    <xf numFmtId="0" fontId="28" fillId="0" borderId="0" xfId="0" applyFont="1" applyAlignment="1">
      <alignment horizontal="left" vertical="center"/>
    </xf>
    <xf numFmtId="0" fontId="27" fillId="0" borderId="0" xfId="0" applyFont="1" applyAlignment="1">
      <alignment horizontal="left" vertical="center"/>
    </xf>
    <xf numFmtId="0" fontId="1" fillId="0" borderId="15" xfId="0" applyFont="1" applyBorder="1"/>
    <xf numFmtId="0" fontId="0" fillId="0" borderId="15" xfId="0" applyBorder="1"/>
    <xf numFmtId="0" fontId="25" fillId="0" borderId="0" xfId="0" applyFont="1" applyAlignment="1">
      <alignment horizontal="left" wrapText="1"/>
    </xf>
    <xf numFmtId="0" fontId="39" fillId="0" borderId="0" xfId="0" applyFont="1"/>
    <xf numFmtId="0" fontId="40" fillId="0" borderId="0" xfId="0" applyFont="1" applyAlignment="1" applyProtection="1">
      <alignment vertical="center"/>
      <protection locked="0"/>
    </xf>
    <xf numFmtId="0" fontId="38" fillId="0" borderId="10" xfId="0" applyFont="1" applyBorder="1" applyAlignment="1">
      <alignment horizontal="left" vertical="center"/>
    </xf>
    <xf numFmtId="0" fontId="38" fillId="0" borderId="10" xfId="0" applyFont="1" applyBorder="1" applyAlignment="1">
      <alignment vertical="center"/>
    </xf>
    <xf numFmtId="1" fontId="43" fillId="26" borderId="12" xfId="0" applyNumberFormat="1" applyFont="1" applyFill="1" applyBorder="1" applyAlignment="1">
      <alignment horizontal="center" vertical="center"/>
    </xf>
    <xf numFmtId="9" fontId="43" fillId="26" borderId="12" xfId="40" applyFont="1" applyFill="1" applyBorder="1" applyAlignment="1" applyProtection="1">
      <alignment horizontal="center" vertical="center"/>
    </xf>
    <xf numFmtId="1" fontId="43" fillId="0" borderId="12" xfId="0" applyNumberFormat="1" applyFont="1" applyBorder="1" applyAlignment="1">
      <alignment horizontal="center" vertical="center"/>
    </xf>
    <xf numFmtId="0" fontId="38" fillId="0" borderId="0" xfId="0" applyFont="1" applyAlignment="1">
      <alignment vertical="center"/>
    </xf>
    <xf numFmtId="0" fontId="44" fillId="23" borderId="0" xfId="0" applyFont="1" applyFill="1" applyAlignment="1">
      <alignment vertical="center"/>
    </xf>
    <xf numFmtId="0" fontId="41" fillId="24" borderId="0" xfId="0" applyFont="1" applyFill="1" applyAlignment="1">
      <alignment vertical="center"/>
    </xf>
    <xf numFmtId="0" fontId="45" fillId="23" borderId="0" xfId="0" applyFont="1" applyFill="1" applyAlignment="1">
      <alignment vertical="center"/>
    </xf>
    <xf numFmtId="0" fontId="46" fillId="24" borderId="0" xfId="0" applyFont="1" applyFill="1" applyAlignment="1">
      <alignment vertical="center"/>
    </xf>
    <xf numFmtId="0" fontId="46" fillId="0" borderId="0" xfId="0" applyFont="1" applyAlignment="1">
      <alignment vertical="center"/>
    </xf>
    <xf numFmtId="0" fontId="43" fillId="23" borderId="0" xfId="0" applyFont="1" applyFill="1" applyAlignment="1">
      <alignment vertical="center"/>
    </xf>
    <xf numFmtId="0" fontId="38" fillId="24" borderId="0" xfId="0" applyFont="1" applyFill="1" applyAlignment="1">
      <alignment vertical="center"/>
    </xf>
    <xf numFmtId="0" fontId="43" fillId="22" borderId="11" xfId="0" applyFont="1" applyFill="1" applyBorder="1" applyAlignment="1">
      <alignment vertical="center"/>
    </xf>
    <xf numFmtId="0" fontId="43" fillId="0" borderId="12" xfId="0" quotePrefix="1" applyFont="1" applyBorder="1" applyAlignment="1">
      <alignment horizontal="center" vertical="center"/>
    </xf>
    <xf numFmtId="0" fontId="43" fillId="0" borderId="12" xfId="0" applyFont="1" applyBorder="1" applyAlignment="1">
      <alignment vertical="center"/>
    </xf>
    <xf numFmtId="0" fontId="43" fillId="0" borderId="12" xfId="0" applyFont="1" applyBorder="1" applyAlignment="1">
      <alignment horizontal="left" vertical="center"/>
    </xf>
    <xf numFmtId="166" fontId="3" fillId="0" borderId="13" xfId="0" applyNumberFormat="1" applyFont="1" applyBorder="1" applyAlignment="1">
      <alignment horizontal="center" vertical="center" shrinkToFit="1"/>
    </xf>
    <xf numFmtId="166" fontId="3" fillId="0" borderId="18" xfId="0" applyNumberFormat="1" applyFont="1" applyBorder="1" applyAlignment="1">
      <alignment horizontal="center" vertical="center" shrinkToFit="1"/>
    </xf>
    <xf numFmtId="166" fontId="3" fillId="0" borderId="19" xfId="0" applyNumberFormat="1" applyFont="1" applyBorder="1" applyAlignment="1">
      <alignment horizontal="center" vertical="center" shrinkToFit="1"/>
    </xf>
    <xf numFmtId="1" fontId="49" fillId="0" borderId="12" xfId="0" applyNumberFormat="1" applyFont="1" applyBorder="1" applyAlignment="1">
      <alignment horizontal="center" vertical="center"/>
    </xf>
    <xf numFmtId="0" fontId="48" fillId="24" borderId="0" xfId="0" applyFont="1" applyFill="1" applyAlignment="1">
      <alignment vertical="center"/>
    </xf>
    <xf numFmtId="165" fontId="43" fillId="25" borderId="12" xfId="0" applyNumberFormat="1" applyFont="1" applyFill="1" applyBorder="1" applyAlignment="1">
      <alignment horizontal="center" vertical="center"/>
    </xf>
    <xf numFmtId="165" fontId="43" fillId="0" borderId="12" xfId="0" applyNumberFormat="1" applyFont="1" applyBorder="1" applyAlignment="1">
      <alignment horizontal="center" vertical="center"/>
    </xf>
    <xf numFmtId="0" fontId="45" fillId="23" borderId="0" xfId="0" applyFont="1" applyFill="1" applyAlignment="1">
      <alignment horizontal="center" vertical="center"/>
    </xf>
    <xf numFmtId="0" fontId="38" fillId="24" borderId="0" xfId="0" applyFont="1" applyFill="1" applyAlignment="1">
      <alignment horizontal="center" vertical="center"/>
    </xf>
    <xf numFmtId="9" fontId="38" fillId="0" borderId="10" xfId="0" applyNumberFormat="1" applyFont="1" applyBorder="1" applyAlignment="1">
      <alignment horizontal="left" vertical="center"/>
    </xf>
    <xf numFmtId="0" fontId="50" fillId="0" borderId="0" xfId="0" applyFont="1"/>
    <xf numFmtId="0" fontId="50" fillId="0" borderId="0" xfId="0" applyFont="1" applyAlignment="1">
      <alignment horizontal="right" vertical="center"/>
    </xf>
    <xf numFmtId="0" fontId="51" fillId="0" borderId="20" xfId="0" applyFont="1" applyBorder="1" applyAlignment="1">
      <alignment horizontal="center" vertical="center" wrapText="1"/>
    </xf>
    <xf numFmtId="0" fontId="38" fillId="0" borderId="21" xfId="0" applyFont="1" applyBorder="1" applyAlignment="1">
      <alignment horizontal="center" vertical="center" shrinkToFit="1"/>
    </xf>
    <xf numFmtId="0" fontId="38" fillId="0" borderId="22" xfId="0" applyFont="1" applyBorder="1" applyAlignment="1">
      <alignment horizontal="center" vertical="center" shrinkToFit="1"/>
    </xf>
    <xf numFmtId="0" fontId="38" fillId="0" borderId="23" xfId="0" applyFont="1" applyBorder="1" applyAlignment="1">
      <alignment horizontal="center" vertical="center" shrinkToFit="1"/>
    </xf>
    <xf numFmtId="0" fontId="41" fillId="0" borderId="24" xfId="0" applyFont="1" applyBorder="1" applyAlignment="1" applyProtection="1">
      <alignment horizontal="center" vertical="center"/>
      <protection locked="0"/>
    </xf>
    <xf numFmtId="0" fontId="42" fillId="0" borderId="10" xfId="0" applyFont="1" applyBorder="1" applyAlignment="1">
      <alignment horizontal="left" vertical="center"/>
    </xf>
    <xf numFmtId="0" fontId="53" fillId="22" borderId="11" xfId="0" applyFont="1" applyFill="1" applyBorder="1" applyAlignment="1">
      <alignment vertical="center"/>
    </xf>
    <xf numFmtId="0" fontId="56" fillId="0" borderId="0" xfId="0" applyFont="1"/>
    <xf numFmtId="0" fontId="1" fillId="0" borderId="0" xfId="0" applyFont="1" applyAlignment="1">
      <alignment vertical="center"/>
    </xf>
    <xf numFmtId="0" fontId="1" fillId="26" borderId="0" xfId="0" applyFont="1" applyFill="1" applyAlignment="1">
      <alignment horizontal="center" vertical="center"/>
    </xf>
    <xf numFmtId="0" fontId="1" fillId="21" borderId="0" xfId="0" applyFont="1" applyFill="1" applyAlignment="1">
      <alignment horizontal="center" vertical="center"/>
    </xf>
    <xf numFmtId="0" fontId="57" fillId="0" borderId="0" xfId="0" applyFont="1" applyAlignment="1">
      <alignment wrapText="1"/>
    </xf>
    <xf numFmtId="0" fontId="33" fillId="0" borderId="0" xfId="34" applyFont="1" applyAlignment="1" applyProtection="1"/>
    <xf numFmtId="0" fontId="57" fillId="0" borderId="0" xfId="0" applyFont="1" applyAlignment="1">
      <alignment horizontal="left" wrapText="1"/>
    </xf>
    <xf numFmtId="0" fontId="57" fillId="0" borderId="0" xfId="0" applyFont="1" applyAlignment="1">
      <alignment vertical="center" wrapText="1"/>
    </xf>
    <xf numFmtId="0" fontId="58" fillId="0" borderId="0" xfId="0" applyFont="1" applyAlignment="1">
      <alignment vertical="center"/>
    </xf>
    <xf numFmtId="0" fontId="58" fillId="0" borderId="0" xfId="0" applyFont="1"/>
    <xf numFmtId="0" fontId="59" fillId="0" borderId="0" xfId="0" applyFont="1" applyAlignment="1">
      <alignment vertical="center" wrapText="1"/>
    </xf>
    <xf numFmtId="0" fontId="33" fillId="0" borderId="0" xfId="34" applyFont="1" applyFill="1" applyBorder="1" applyAlignment="1" applyProtection="1">
      <alignment vertical="center"/>
    </xf>
    <xf numFmtId="0" fontId="61" fillId="0" borderId="0" xfId="0" applyFont="1" applyAlignment="1">
      <alignment horizontal="right"/>
    </xf>
    <xf numFmtId="0" fontId="57" fillId="0" borderId="0" xfId="0" applyFont="1"/>
    <xf numFmtId="0" fontId="57" fillId="0" borderId="0" xfId="0" applyFont="1" applyAlignment="1">
      <alignment horizontal="left" indent="1"/>
    </xf>
    <xf numFmtId="0" fontId="57" fillId="0" borderId="0" xfId="0" quotePrefix="1" applyFont="1" applyAlignment="1">
      <alignment horizontal="left" wrapText="1" indent="1"/>
    </xf>
    <xf numFmtId="0" fontId="32" fillId="0" borderId="0" xfId="0" quotePrefix="1" applyFont="1" applyAlignment="1">
      <alignment horizontal="left" indent="1"/>
    </xf>
    <xf numFmtId="0" fontId="61" fillId="0" borderId="0" xfId="0" applyFont="1" applyAlignment="1">
      <alignment horizontal="left" wrapText="1"/>
    </xf>
    <xf numFmtId="0" fontId="57" fillId="0" borderId="0" xfId="0" applyFont="1" applyAlignment="1">
      <alignment horizontal="left" vertical="center" wrapText="1"/>
    </xf>
    <xf numFmtId="0" fontId="63" fillId="0" borderId="0" xfId="0" applyFont="1" applyAlignment="1">
      <alignment horizontal="right"/>
    </xf>
    <xf numFmtId="0" fontId="64" fillId="0" borderId="0" xfId="0" applyFont="1" applyAlignment="1">
      <alignment vertical="center" wrapText="1"/>
    </xf>
    <xf numFmtId="0" fontId="57" fillId="0" borderId="0" xfId="0" quotePrefix="1" applyFont="1" applyAlignment="1">
      <alignment wrapText="1"/>
    </xf>
    <xf numFmtId="0" fontId="64" fillId="0" borderId="0" xfId="0" applyFont="1"/>
    <xf numFmtId="0" fontId="63" fillId="0" borderId="0" xfId="0" applyFont="1"/>
    <xf numFmtId="0" fontId="2" fillId="0" borderId="0" xfId="34" applyNumberFormat="1" applyFill="1" applyBorder="1" applyAlignment="1" applyProtection="1"/>
    <xf numFmtId="0" fontId="43" fillId="0" borderId="0" xfId="0" applyFont="1" applyAlignment="1">
      <alignment vertical="center"/>
    </xf>
    <xf numFmtId="0" fontId="43" fillId="0" borderId="0" xfId="0" quotePrefix="1" applyFont="1" applyAlignment="1">
      <alignment horizontal="center" vertical="center"/>
    </xf>
    <xf numFmtId="165" fontId="43" fillId="25" borderId="0" xfId="0" applyNumberFormat="1" applyFont="1" applyFill="1" applyAlignment="1">
      <alignment horizontal="center" vertical="center"/>
    </xf>
    <xf numFmtId="165" fontId="43" fillId="0" borderId="0" xfId="0" applyNumberFormat="1" applyFont="1" applyAlignment="1">
      <alignment horizontal="center" vertical="center"/>
    </xf>
    <xf numFmtId="1" fontId="43" fillId="26" borderId="0" xfId="0" applyNumberFormat="1" applyFont="1" applyFill="1" applyAlignment="1">
      <alignment horizontal="center" vertical="center"/>
    </xf>
    <xf numFmtId="9" fontId="43" fillId="26" borderId="0" xfId="40" applyFont="1" applyFill="1" applyBorder="1" applyAlignment="1" applyProtection="1">
      <alignment horizontal="center" vertical="center"/>
    </xf>
    <xf numFmtId="1" fontId="43" fillId="0" borderId="0" xfId="0" applyNumberFormat="1" applyFont="1" applyAlignment="1">
      <alignment horizontal="center" vertical="center"/>
    </xf>
    <xf numFmtId="1" fontId="49" fillId="0" borderId="0" xfId="0" applyNumberFormat="1" applyFont="1" applyAlignment="1">
      <alignment horizontal="center" vertical="center"/>
    </xf>
    <xf numFmtId="0" fontId="38" fillId="0" borderId="0" xfId="0" applyFont="1" applyAlignment="1">
      <alignment horizontal="left" vertical="center"/>
    </xf>
    <xf numFmtId="1" fontId="48" fillId="0" borderId="0" xfId="0" applyNumberFormat="1" applyFont="1" applyAlignment="1">
      <alignment horizontal="center" vertical="center"/>
    </xf>
    <xf numFmtId="0" fontId="0" fillId="0" borderId="0" xfId="0" applyAlignment="1">
      <alignment horizontal="right" vertical="center"/>
    </xf>
    <xf numFmtId="0" fontId="51" fillId="0" borderId="25" xfId="0" applyFont="1" applyBorder="1" applyAlignment="1">
      <alignment horizontal="left" vertical="center"/>
    </xf>
    <xf numFmtId="0" fontId="51"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51" fillId="0" borderId="25" xfId="0" applyFont="1" applyBorder="1" applyAlignment="1">
      <alignment horizontal="center" vertical="center"/>
    </xf>
    <xf numFmtId="0" fontId="38" fillId="0" borderId="25" xfId="0" applyFont="1" applyBorder="1" applyAlignment="1">
      <alignment horizontal="left" vertical="center"/>
    </xf>
    <xf numFmtId="0" fontId="0" fillId="0" borderId="25" xfId="0" applyBorder="1"/>
    <xf numFmtId="0" fontId="38" fillId="0" borderId="25" xfId="0" applyFont="1" applyBorder="1" applyAlignment="1">
      <alignment vertical="center"/>
    </xf>
    <xf numFmtId="0" fontId="43" fillId="0" borderId="25" xfId="0" applyFont="1" applyBorder="1" applyAlignment="1">
      <alignment horizontal="center" vertical="center"/>
    </xf>
    <xf numFmtId="165" fontId="43" fillId="25" borderId="25" xfId="0" applyNumberFormat="1" applyFont="1" applyFill="1" applyBorder="1" applyAlignment="1">
      <alignment horizontal="center" vertical="center"/>
    </xf>
    <xf numFmtId="165" fontId="43" fillId="0" borderId="25" xfId="0" applyNumberFormat="1" applyFont="1" applyBorder="1" applyAlignment="1">
      <alignment horizontal="center" vertical="center"/>
    </xf>
    <xf numFmtId="1" fontId="43" fillId="26" borderId="25" xfId="0" applyNumberFormat="1" applyFont="1" applyFill="1" applyBorder="1" applyAlignment="1">
      <alignment horizontal="center" vertical="center"/>
    </xf>
    <xf numFmtId="9" fontId="43" fillId="26" borderId="25" xfId="40" applyFont="1" applyFill="1" applyBorder="1" applyAlignment="1">
      <alignment horizontal="center" vertical="center"/>
    </xf>
    <xf numFmtId="1" fontId="43" fillId="0" borderId="25" xfId="0" applyNumberFormat="1" applyFont="1" applyBorder="1" applyAlignment="1">
      <alignment horizontal="center" vertical="center"/>
    </xf>
    <xf numFmtId="0" fontId="6" fillId="0" borderId="25" xfId="0" applyFont="1" applyBorder="1"/>
    <xf numFmtId="0" fontId="43" fillId="0" borderId="25" xfId="0" applyFont="1" applyBorder="1" applyAlignment="1">
      <alignment horizontal="left" vertical="center"/>
    </xf>
    <xf numFmtId="0" fontId="38" fillId="0" borderId="25" xfId="0" applyFont="1" applyBorder="1" applyAlignment="1">
      <alignment horizontal="left" vertical="center" wrapText="1" indent="1"/>
    </xf>
    <xf numFmtId="0" fontId="67" fillId="0" borderId="25" xfId="0" applyFont="1" applyBorder="1" applyAlignment="1">
      <alignment vertical="center"/>
    </xf>
    <xf numFmtId="0" fontId="38" fillId="0" borderId="25" xfId="0" applyFont="1" applyBorder="1" applyAlignment="1">
      <alignment vertical="center" wrapText="1"/>
    </xf>
    <xf numFmtId="0" fontId="66" fillId="0" borderId="25" xfId="0" applyFont="1" applyBorder="1" applyAlignment="1">
      <alignment vertical="center" wrapText="1"/>
    </xf>
    <xf numFmtId="0" fontId="38" fillId="0" borderId="25" xfId="0" applyFont="1" applyBorder="1" applyAlignment="1">
      <alignment horizontal="center" vertical="center"/>
    </xf>
    <xf numFmtId="0" fontId="42" fillId="27" borderId="25" xfId="0" applyFont="1" applyFill="1" applyBorder="1" applyAlignment="1">
      <alignment horizontal="left" vertical="center"/>
    </xf>
    <xf numFmtId="0" fontId="66" fillId="27" borderId="25" xfId="0" applyFont="1" applyFill="1" applyBorder="1" applyAlignment="1">
      <alignment vertical="center"/>
    </xf>
    <xf numFmtId="165" fontId="38" fillId="27" borderId="25" xfId="0" applyNumberFormat="1" applyFont="1" applyFill="1" applyBorder="1" applyAlignment="1">
      <alignment horizontal="center" vertical="center"/>
    </xf>
    <xf numFmtId="1" fontId="38" fillId="27" borderId="25" xfId="40" applyNumberFormat="1" applyFont="1" applyFill="1" applyBorder="1" applyAlignment="1" applyProtection="1">
      <alignment horizontal="center" vertical="center"/>
    </xf>
    <xf numFmtId="9" fontId="38" fillId="27" borderId="25" xfId="40" applyFont="1" applyFill="1" applyBorder="1" applyAlignment="1">
      <alignment horizontal="center" vertical="center"/>
    </xf>
    <xf numFmtId="1" fontId="38" fillId="27" borderId="25" xfId="0" applyNumberFormat="1" applyFont="1" applyFill="1" applyBorder="1" applyAlignment="1">
      <alignment horizontal="center" vertical="center"/>
    </xf>
    <xf numFmtId="1" fontId="48" fillId="27" borderId="10" xfId="0" applyNumberFormat="1" applyFont="1" applyFill="1" applyBorder="1" applyAlignment="1">
      <alignment horizontal="center" vertical="center"/>
    </xf>
    <xf numFmtId="0" fontId="38" fillId="27" borderId="10" xfId="0" applyFont="1" applyFill="1" applyBorder="1" applyAlignment="1">
      <alignment horizontal="left" vertical="center"/>
    </xf>
    <xf numFmtId="0" fontId="38" fillId="27" borderId="10" xfId="0" applyFont="1" applyFill="1" applyBorder="1" applyAlignment="1">
      <alignment vertical="center"/>
    </xf>
    <xf numFmtId="165" fontId="38" fillId="27" borderId="25" xfId="0" applyNumberFormat="1" applyFont="1" applyFill="1" applyBorder="1" applyAlignment="1">
      <alignment horizontal="right" vertical="center"/>
    </xf>
    <xf numFmtId="1" fontId="48" fillId="27" borderId="16" xfId="0" applyNumberFormat="1" applyFont="1" applyFill="1" applyBorder="1" applyAlignment="1">
      <alignment horizontal="center" vertical="center"/>
    </xf>
    <xf numFmtId="0" fontId="38" fillId="27" borderId="16" xfId="0" applyFont="1" applyFill="1" applyBorder="1" applyAlignment="1">
      <alignment horizontal="left" vertical="center"/>
    </xf>
    <xf numFmtId="1" fontId="38" fillId="27" borderId="25" xfId="40" applyNumberFormat="1" applyFont="1" applyFill="1" applyBorder="1" applyAlignment="1">
      <alignment horizontal="center" vertical="center"/>
    </xf>
    <xf numFmtId="1" fontId="49" fillId="27" borderId="0" xfId="0" applyNumberFormat="1" applyFont="1" applyFill="1" applyAlignment="1">
      <alignment horizontal="center" vertical="center"/>
    </xf>
    <xf numFmtId="0" fontId="38" fillId="27" borderId="0" xfId="0" applyFont="1" applyFill="1" applyAlignment="1">
      <alignment vertical="center"/>
    </xf>
    <xf numFmtId="0" fontId="66" fillId="27" borderId="25" xfId="0" applyFont="1" applyFill="1" applyBorder="1" applyAlignment="1">
      <alignment horizontal="center" vertical="center"/>
    </xf>
    <xf numFmtId="0" fontId="38" fillId="0" borderId="16" xfId="0" applyFont="1" applyBorder="1" applyAlignment="1">
      <alignment horizontal="left" vertical="center"/>
    </xf>
    <xf numFmtId="0" fontId="38" fillId="0" borderId="26" xfId="0" applyFont="1" applyBorder="1" applyAlignment="1">
      <alignment horizontal="left" vertical="center"/>
    </xf>
    <xf numFmtId="0" fontId="43" fillId="0" borderId="25" xfId="0" applyFont="1" applyBorder="1" applyAlignment="1">
      <alignment horizontal="left" vertical="center" wrapText="1"/>
    </xf>
    <xf numFmtId="0" fontId="68" fillId="0" borderId="0" xfId="0" applyFont="1" applyAlignment="1" applyProtection="1">
      <alignment vertical="center"/>
      <protection locked="0"/>
    </xf>
    <xf numFmtId="0" fontId="1" fillId="0" borderId="25" xfId="0" applyFont="1" applyBorder="1"/>
    <xf numFmtId="0" fontId="47" fillId="0" borderId="18" xfId="0" applyFont="1" applyBorder="1" applyAlignment="1">
      <alignment horizontal="center" vertical="center"/>
    </xf>
    <xf numFmtId="0" fontId="47" fillId="0" borderId="13" xfId="0" applyFont="1" applyBorder="1" applyAlignment="1">
      <alignment horizontal="center" vertical="center"/>
    </xf>
    <xf numFmtId="0" fontId="47" fillId="0" borderId="19" xfId="0" applyFont="1" applyBorder="1" applyAlignment="1">
      <alignment horizontal="center" vertical="center"/>
    </xf>
    <xf numFmtId="167" fontId="41" fillId="0" borderId="18" xfId="0" applyNumberFormat="1" applyFont="1" applyBorder="1" applyAlignment="1">
      <alignment horizontal="center" vertical="center"/>
    </xf>
    <xf numFmtId="167" fontId="41" fillId="0" borderId="13" xfId="0" applyNumberFormat="1" applyFont="1" applyBorder="1" applyAlignment="1">
      <alignment horizontal="center" vertical="center"/>
    </xf>
    <xf numFmtId="167" fontId="41" fillId="0" borderId="19" xfId="0" applyNumberFormat="1" applyFont="1" applyBorder="1" applyAlignment="1">
      <alignment horizontal="center" vertical="center"/>
    </xf>
    <xf numFmtId="0" fontId="54" fillId="0" borderId="0" xfId="34" applyFont="1" applyAlignment="1" applyProtection="1">
      <alignment horizontal="left" vertical="center"/>
    </xf>
    <xf numFmtId="164" fontId="41" fillId="0" borderId="17" xfId="0" applyNumberFormat="1" applyFont="1" applyBorder="1" applyAlignment="1" applyProtection="1">
      <alignment horizontal="center" vertical="center" shrinkToFit="1"/>
      <protection locked="0"/>
    </xf>
    <xf numFmtId="164" fontId="41" fillId="0" borderId="24" xfId="0" applyNumberFormat="1" applyFont="1" applyBorder="1" applyAlignment="1" applyProtection="1">
      <alignment horizontal="center" vertical="center" shrinkToFit="1"/>
      <protection locked="0"/>
    </xf>
    <xf numFmtId="0" fontId="56" fillId="0" borderId="0" xfId="0" applyFont="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2">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chartsheet" Target="chartsheets/sheet3.xml"/><Relationship Id="rId7" Type="http://schemas.openxmlformats.org/officeDocument/2006/relationships/worksheet" Target="worksheets/sheet4.xml"/><Relationship Id="rId12" Type="http://schemas.openxmlformats.org/officeDocument/2006/relationships/customXml" Target="../customXml/item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3.xml"/><Relationship Id="rId11" Type="http://schemas.openxmlformats.org/officeDocument/2006/relationships/calcChain" Target="calcChain.xml"/><Relationship Id="rId5" Type="http://schemas.openxmlformats.org/officeDocument/2006/relationships/worksheet" Target="worksheets/sheet2.xml"/><Relationship Id="rId10"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GanttChart!$G$7</c:f>
              <c:strCache>
                <c:ptCount val="1"/>
                <c:pt idx="0">
                  <c:v>DAYS</c:v>
                </c:pt>
              </c:strCache>
            </c:strRef>
          </c:tx>
          <c:spPr>
            <a:solidFill>
              <a:schemeClr val="accent1"/>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GanttChart!$G$8:$G$57</c:f>
              <c:numCache>
                <c:formatCode>0</c:formatCode>
                <c:ptCount val="50"/>
                <c:pt idx="1">
                  <c:v>22</c:v>
                </c:pt>
                <c:pt idx="3">
                  <c:v>11</c:v>
                </c:pt>
                <c:pt idx="4">
                  <c:v>11</c:v>
                </c:pt>
                <c:pt idx="6">
                  <c:v>14</c:v>
                </c:pt>
                <c:pt idx="7">
                  <c:v>24</c:v>
                </c:pt>
                <c:pt idx="9">
                  <c:v>21</c:v>
                </c:pt>
                <c:pt idx="11">
                  <c:v>15</c:v>
                </c:pt>
                <c:pt idx="12">
                  <c:v>22</c:v>
                </c:pt>
                <c:pt idx="14">
                  <c:v>22</c:v>
                </c:pt>
                <c:pt idx="15">
                  <c:v>22</c:v>
                </c:pt>
                <c:pt idx="17">
                  <c:v>22</c:v>
                </c:pt>
                <c:pt idx="19">
                  <c:v>28</c:v>
                </c:pt>
                <c:pt idx="20">
                  <c:v>14</c:v>
                </c:pt>
                <c:pt idx="23">
                  <c:v>1</c:v>
                </c:pt>
                <c:pt idx="24">
                  <c:v>22</c:v>
                </c:pt>
                <c:pt idx="25">
                  <c:v>22</c:v>
                </c:pt>
                <c:pt idx="26">
                  <c:v>22</c:v>
                </c:pt>
                <c:pt idx="27">
                  <c:v>14</c:v>
                </c:pt>
                <c:pt idx="28">
                  <c:v>14</c:v>
                </c:pt>
                <c:pt idx="29">
                  <c:v>14</c:v>
                </c:pt>
                <c:pt idx="30">
                  <c:v>14</c:v>
                </c:pt>
                <c:pt idx="31">
                  <c:v>14</c:v>
                </c:pt>
                <c:pt idx="33">
                  <c:v>30</c:v>
                </c:pt>
                <c:pt idx="34">
                  <c:v>14</c:v>
                </c:pt>
                <c:pt idx="35">
                  <c:v>14</c:v>
                </c:pt>
                <c:pt idx="36">
                  <c:v>14</c:v>
                </c:pt>
                <c:pt idx="38">
                  <c:v>90</c:v>
                </c:pt>
                <c:pt idx="39">
                  <c:v>14</c:v>
                </c:pt>
                <c:pt idx="40">
                  <c:v>14</c:v>
                </c:pt>
                <c:pt idx="42">
                  <c:v>14</c:v>
                </c:pt>
                <c:pt idx="43">
                  <c:v>14</c:v>
                </c:pt>
                <c:pt idx="44">
                  <c:v>14</c:v>
                </c:pt>
                <c:pt idx="45">
                  <c:v>14</c:v>
                </c:pt>
                <c:pt idx="47">
                  <c:v>30</c:v>
                </c:pt>
                <c:pt idx="48">
                  <c:v>15</c:v>
                </c:pt>
                <c:pt idx="49">
                  <c:v>45</c:v>
                </c:pt>
              </c:numCache>
            </c:numRef>
          </c:val>
          <c:extLst>
            <c:ext xmlns:c16="http://schemas.microsoft.com/office/drawing/2014/chart" uri="{C3380CC4-5D6E-409C-BE32-E72D297353CC}">
              <c16:uniqueId val="{00000000-30B8-4082-9032-5EB8B676396A}"/>
            </c:ext>
          </c:extLst>
        </c:ser>
        <c:ser>
          <c:idx val="1"/>
          <c:order val="1"/>
          <c:tx>
            <c:strRef>
              <c:f>GanttChart!$H$7</c:f>
              <c:strCache>
                <c:ptCount val="1"/>
                <c:pt idx="0">
                  <c:v>% DONE</c:v>
                </c:pt>
              </c:strCache>
            </c:strRef>
          </c:tx>
          <c:spPr>
            <a:solidFill>
              <a:schemeClr val="accent2"/>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GanttChart!$H$8:$H$57</c:f>
            </c:numRef>
          </c:val>
          <c:extLst>
            <c:ext xmlns:c16="http://schemas.microsoft.com/office/drawing/2014/chart" uri="{C3380CC4-5D6E-409C-BE32-E72D297353CC}">
              <c16:uniqueId val="{00000001-30B8-4082-9032-5EB8B676396A}"/>
            </c:ext>
          </c:extLst>
        </c:ser>
        <c:ser>
          <c:idx val="2"/>
          <c:order val="2"/>
          <c:tx>
            <c:strRef>
              <c:f>GanttChart!$I$7</c:f>
              <c:strCache>
                <c:ptCount val="1"/>
                <c:pt idx="0">
                  <c:v>WORK DAYS</c:v>
                </c:pt>
              </c:strCache>
            </c:strRef>
          </c:tx>
          <c:spPr>
            <a:solidFill>
              <a:schemeClr val="accent3"/>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GanttChart!$I$8:$I$57</c:f>
            </c:numRef>
          </c:val>
          <c:extLst>
            <c:ext xmlns:c16="http://schemas.microsoft.com/office/drawing/2014/chart" uri="{C3380CC4-5D6E-409C-BE32-E72D297353CC}">
              <c16:uniqueId val="{00000002-30B8-4082-9032-5EB8B676396A}"/>
            </c:ext>
          </c:extLst>
        </c:ser>
        <c:dLbls>
          <c:showLegendKey val="0"/>
          <c:showVal val="0"/>
          <c:showCatName val="0"/>
          <c:showSerName val="0"/>
          <c:showPercent val="0"/>
          <c:showBubbleSize val="0"/>
        </c:dLbls>
        <c:gapWidth val="219"/>
        <c:overlap val="-27"/>
        <c:axId val="371791487"/>
        <c:axId val="371791967"/>
      </c:barChart>
      <c:catAx>
        <c:axId val="37179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91967"/>
        <c:crosses val="autoZero"/>
        <c:auto val="1"/>
        <c:lblAlgn val="ctr"/>
        <c:lblOffset val="100"/>
        <c:noMultiLvlLbl val="0"/>
      </c:catAx>
      <c:valAx>
        <c:axId val="371791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9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GanttChart!$G$7</c:f>
              <c:strCache>
                <c:ptCount val="1"/>
                <c:pt idx="0">
                  <c:v>DAYS</c:v>
                </c:pt>
              </c:strCache>
            </c:strRef>
          </c:tx>
          <c:spPr>
            <a:solidFill>
              <a:schemeClr val="accent1"/>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GanttChart!$G$8:$G$57</c:f>
              <c:numCache>
                <c:formatCode>0</c:formatCode>
                <c:ptCount val="50"/>
                <c:pt idx="1">
                  <c:v>22</c:v>
                </c:pt>
                <c:pt idx="3">
                  <c:v>11</c:v>
                </c:pt>
                <c:pt idx="4">
                  <c:v>11</c:v>
                </c:pt>
                <c:pt idx="6">
                  <c:v>14</c:v>
                </c:pt>
                <c:pt idx="7">
                  <c:v>24</c:v>
                </c:pt>
                <c:pt idx="9">
                  <c:v>21</c:v>
                </c:pt>
                <c:pt idx="11">
                  <c:v>15</c:v>
                </c:pt>
                <c:pt idx="12">
                  <c:v>22</c:v>
                </c:pt>
                <c:pt idx="14">
                  <c:v>22</c:v>
                </c:pt>
                <c:pt idx="15">
                  <c:v>22</c:v>
                </c:pt>
                <c:pt idx="17">
                  <c:v>22</c:v>
                </c:pt>
                <c:pt idx="19">
                  <c:v>28</c:v>
                </c:pt>
                <c:pt idx="20">
                  <c:v>14</c:v>
                </c:pt>
                <c:pt idx="23">
                  <c:v>1</c:v>
                </c:pt>
                <c:pt idx="24">
                  <c:v>22</c:v>
                </c:pt>
                <c:pt idx="25">
                  <c:v>22</c:v>
                </c:pt>
                <c:pt idx="26">
                  <c:v>22</c:v>
                </c:pt>
                <c:pt idx="27">
                  <c:v>14</c:v>
                </c:pt>
                <c:pt idx="28">
                  <c:v>14</c:v>
                </c:pt>
                <c:pt idx="29">
                  <c:v>14</c:v>
                </c:pt>
                <c:pt idx="30">
                  <c:v>14</c:v>
                </c:pt>
                <c:pt idx="31">
                  <c:v>14</c:v>
                </c:pt>
                <c:pt idx="33">
                  <c:v>30</c:v>
                </c:pt>
                <c:pt idx="34">
                  <c:v>14</c:v>
                </c:pt>
                <c:pt idx="35">
                  <c:v>14</c:v>
                </c:pt>
                <c:pt idx="36">
                  <c:v>14</c:v>
                </c:pt>
                <c:pt idx="38">
                  <c:v>90</c:v>
                </c:pt>
                <c:pt idx="39">
                  <c:v>14</c:v>
                </c:pt>
                <c:pt idx="40">
                  <c:v>14</c:v>
                </c:pt>
                <c:pt idx="42">
                  <c:v>14</c:v>
                </c:pt>
                <c:pt idx="43">
                  <c:v>14</c:v>
                </c:pt>
                <c:pt idx="44">
                  <c:v>14</c:v>
                </c:pt>
                <c:pt idx="45">
                  <c:v>14</c:v>
                </c:pt>
                <c:pt idx="47">
                  <c:v>30</c:v>
                </c:pt>
                <c:pt idx="48">
                  <c:v>15</c:v>
                </c:pt>
                <c:pt idx="49">
                  <c:v>45</c:v>
                </c:pt>
              </c:numCache>
            </c:numRef>
          </c:val>
          <c:extLst>
            <c:ext xmlns:c16="http://schemas.microsoft.com/office/drawing/2014/chart" uri="{C3380CC4-5D6E-409C-BE32-E72D297353CC}">
              <c16:uniqueId val="{00000000-1AC6-446C-BB8E-640E575EED75}"/>
            </c:ext>
          </c:extLst>
        </c:ser>
        <c:ser>
          <c:idx val="1"/>
          <c:order val="1"/>
          <c:tx>
            <c:strRef>
              <c:f>GanttChart!$H$7</c:f>
              <c:strCache>
                <c:ptCount val="1"/>
                <c:pt idx="0">
                  <c:v>% DONE</c:v>
                </c:pt>
              </c:strCache>
            </c:strRef>
          </c:tx>
          <c:spPr>
            <a:solidFill>
              <a:schemeClr val="accent2"/>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GanttChart!$H$8:$H$57</c:f>
            </c:numRef>
          </c:val>
          <c:extLst>
            <c:ext xmlns:c16="http://schemas.microsoft.com/office/drawing/2014/chart" uri="{C3380CC4-5D6E-409C-BE32-E72D297353CC}">
              <c16:uniqueId val="{00000001-1AC6-446C-BB8E-640E575EED75}"/>
            </c:ext>
          </c:extLst>
        </c:ser>
        <c:ser>
          <c:idx val="2"/>
          <c:order val="2"/>
          <c:tx>
            <c:strRef>
              <c:f>GanttChart!$I$7</c:f>
              <c:strCache>
                <c:ptCount val="1"/>
                <c:pt idx="0">
                  <c:v>WORK DAYS</c:v>
                </c:pt>
              </c:strCache>
            </c:strRef>
          </c:tx>
          <c:spPr>
            <a:solidFill>
              <a:schemeClr val="accent3"/>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GanttChart!$I$8:$I$57</c:f>
            </c:numRef>
          </c:val>
          <c:extLst>
            <c:ext xmlns:c16="http://schemas.microsoft.com/office/drawing/2014/chart" uri="{C3380CC4-5D6E-409C-BE32-E72D297353CC}">
              <c16:uniqueId val="{00000002-1AC6-446C-BB8E-640E575EED75}"/>
            </c:ext>
          </c:extLst>
        </c:ser>
        <c:dLbls>
          <c:showLegendKey val="0"/>
          <c:showVal val="0"/>
          <c:showCatName val="0"/>
          <c:showSerName val="0"/>
          <c:showPercent val="0"/>
          <c:showBubbleSize val="0"/>
        </c:dLbls>
        <c:gapWidth val="219"/>
        <c:overlap val="-27"/>
        <c:axId val="565908927"/>
        <c:axId val="565908447"/>
      </c:barChart>
      <c:catAx>
        <c:axId val="56590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908447"/>
        <c:crosses val="autoZero"/>
        <c:auto val="1"/>
        <c:lblAlgn val="ctr"/>
        <c:lblOffset val="100"/>
        <c:noMultiLvlLbl val="0"/>
      </c:catAx>
      <c:valAx>
        <c:axId val="565908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90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GanttChart!$G$7</c:f>
              <c:strCache>
                <c:ptCount val="1"/>
                <c:pt idx="0">
                  <c:v>DAYS</c:v>
                </c:pt>
              </c:strCache>
            </c:strRef>
          </c:tx>
          <c:spPr>
            <a:solidFill>
              <a:schemeClr val="accent1"/>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GanttChart!$G$8:$G$57</c:f>
              <c:numCache>
                <c:formatCode>0</c:formatCode>
                <c:ptCount val="50"/>
                <c:pt idx="1">
                  <c:v>22</c:v>
                </c:pt>
                <c:pt idx="3">
                  <c:v>11</c:v>
                </c:pt>
                <c:pt idx="4">
                  <c:v>11</c:v>
                </c:pt>
                <c:pt idx="6">
                  <c:v>14</c:v>
                </c:pt>
                <c:pt idx="7">
                  <c:v>24</c:v>
                </c:pt>
                <c:pt idx="9">
                  <c:v>21</c:v>
                </c:pt>
                <c:pt idx="11">
                  <c:v>15</c:v>
                </c:pt>
                <c:pt idx="12">
                  <c:v>22</c:v>
                </c:pt>
                <c:pt idx="14">
                  <c:v>22</c:v>
                </c:pt>
                <c:pt idx="15">
                  <c:v>22</c:v>
                </c:pt>
                <c:pt idx="17">
                  <c:v>22</c:v>
                </c:pt>
                <c:pt idx="19">
                  <c:v>28</c:v>
                </c:pt>
                <c:pt idx="20">
                  <c:v>14</c:v>
                </c:pt>
                <c:pt idx="23">
                  <c:v>1</c:v>
                </c:pt>
                <c:pt idx="24">
                  <c:v>22</c:v>
                </c:pt>
                <c:pt idx="25">
                  <c:v>22</c:v>
                </c:pt>
                <c:pt idx="26">
                  <c:v>22</c:v>
                </c:pt>
                <c:pt idx="27">
                  <c:v>14</c:v>
                </c:pt>
                <c:pt idx="28">
                  <c:v>14</c:v>
                </c:pt>
                <c:pt idx="29">
                  <c:v>14</c:v>
                </c:pt>
                <c:pt idx="30">
                  <c:v>14</c:v>
                </c:pt>
                <c:pt idx="31">
                  <c:v>14</c:v>
                </c:pt>
                <c:pt idx="33">
                  <c:v>30</c:v>
                </c:pt>
                <c:pt idx="34">
                  <c:v>14</c:v>
                </c:pt>
                <c:pt idx="35">
                  <c:v>14</c:v>
                </c:pt>
                <c:pt idx="36">
                  <c:v>14</c:v>
                </c:pt>
                <c:pt idx="38">
                  <c:v>90</c:v>
                </c:pt>
                <c:pt idx="39">
                  <c:v>14</c:v>
                </c:pt>
                <c:pt idx="40">
                  <c:v>14</c:v>
                </c:pt>
                <c:pt idx="42">
                  <c:v>14</c:v>
                </c:pt>
                <c:pt idx="43">
                  <c:v>14</c:v>
                </c:pt>
                <c:pt idx="44">
                  <c:v>14</c:v>
                </c:pt>
                <c:pt idx="45">
                  <c:v>14</c:v>
                </c:pt>
                <c:pt idx="47">
                  <c:v>30</c:v>
                </c:pt>
                <c:pt idx="48">
                  <c:v>15</c:v>
                </c:pt>
                <c:pt idx="49">
                  <c:v>45</c:v>
                </c:pt>
              </c:numCache>
            </c:numRef>
          </c:val>
          <c:extLst>
            <c:ext xmlns:c16="http://schemas.microsoft.com/office/drawing/2014/chart" uri="{C3380CC4-5D6E-409C-BE32-E72D297353CC}">
              <c16:uniqueId val="{00000000-9325-4299-BAE2-1488158F03BF}"/>
            </c:ext>
          </c:extLst>
        </c:ser>
        <c:ser>
          <c:idx val="1"/>
          <c:order val="1"/>
          <c:tx>
            <c:strRef>
              <c:f>GanttChart!$H$7</c:f>
              <c:strCache>
                <c:ptCount val="1"/>
                <c:pt idx="0">
                  <c:v>% DONE</c:v>
                </c:pt>
              </c:strCache>
            </c:strRef>
          </c:tx>
          <c:spPr>
            <a:solidFill>
              <a:schemeClr val="accent2"/>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GanttChart!$H$8:$H$57</c:f>
            </c:numRef>
          </c:val>
          <c:extLst>
            <c:ext xmlns:c16="http://schemas.microsoft.com/office/drawing/2014/chart" uri="{C3380CC4-5D6E-409C-BE32-E72D297353CC}">
              <c16:uniqueId val="{00000001-9325-4299-BAE2-1488158F03BF}"/>
            </c:ext>
          </c:extLst>
        </c:ser>
        <c:ser>
          <c:idx val="2"/>
          <c:order val="2"/>
          <c:tx>
            <c:strRef>
              <c:f>GanttChart!$I$7</c:f>
              <c:strCache>
                <c:ptCount val="1"/>
                <c:pt idx="0">
                  <c:v>WORK DAYS</c:v>
                </c:pt>
              </c:strCache>
            </c:strRef>
          </c:tx>
          <c:spPr>
            <a:solidFill>
              <a:schemeClr val="accent3"/>
            </a:solidFill>
            <a:ln>
              <a:noFill/>
            </a:ln>
            <a:effectLst/>
          </c:spPr>
          <c:invertIfNegative val="0"/>
          <c:cat>
            <c:multiLvlStrRef>
              <c:f>GanttChart!$A$8:$F$57</c:f>
              <c:multiLvlStrCache>
                <c:ptCount val="50"/>
                <c:lvl>
                  <c:pt idx="1">
                    <c:v>Mon 12-08-25</c:v>
                  </c:pt>
                  <c:pt idx="3">
                    <c:v>Thu 12-25-25</c:v>
                  </c:pt>
                  <c:pt idx="4">
                    <c:v>Sun 1-04-26</c:v>
                  </c:pt>
                  <c:pt idx="6">
                    <c:v>Sun 1-18-26</c:v>
                  </c:pt>
                  <c:pt idx="7">
                    <c:v>Wed 1-28-26</c:v>
                  </c:pt>
                  <c:pt idx="9">
                    <c:v>Mon 2-23-26</c:v>
                  </c:pt>
                  <c:pt idx="11">
                    <c:v>Mon 12-01-25</c:v>
                  </c:pt>
                  <c:pt idx="12">
                    <c:v>Mon 1-05-26</c:v>
                  </c:pt>
                  <c:pt idx="14">
                    <c:v>Mon 1-05-26</c:v>
                  </c:pt>
                  <c:pt idx="15">
                    <c:v>Mon 1-05-26</c:v>
                  </c:pt>
                  <c:pt idx="17">
                    <c:v>Mon 1-26-26</c:v>
                  </c:pt>
                  <c:pt idx="19">
                    <c:v>Thu 3-12-26</c:v>
                  </c:pt>
                  <c:pt idx="20">
                    <c:v>Wed 3-11-26</c:v>
                  </c:pt>
                  <c:pt idx="23">
                    <c:v>Thu 11-17-22</c:v>
                  </c:pt>
                  <c:pt idx="24">
                    <c:v>Mon 12-08-25</c:v>
                  </c:pt>
                  <c:pt idx="25">
                    <c:v>Mon 1-05-26</c:v>
                  </c:pt>
                  <c:pt idx="26">
                    <c:v>Mon 1-05-26</c:v>
                  </c:pt>
                  <c:pt idx="27">
                    <c:v>Sun 1-18-26</c:v>
                  </c:pt>
                  <c:pt idx="28">
                    <c:v>Sat 1-31-26</c:v>
                  </c:pt>
                  <c:pt idx="29">
                    <c:v>Fri 2-13-26</c:v>
                  </c:pt>
                  <c:pt idx="30">
                    <c:v>Thu 2-26-26</c:v>
                  </c:pt>
                  <c:pt idx="31">
                    <c:v>Wed 3-11-26</c:v>
                  </c:pt>
                  <c:pt idx="33">
                    <c:v>Tue 12-16-25</c:v>
                  </c:pt>
                  <c:pt idx="34">
                    <c:v>Fri 2-13-26</c:v>
                  </c:pt>
                  <c:pt idx="35">
                    <c:v>Thu 2-26-26</c:v>
                  </c:pt>
                  <c:pt idx="36">
                    <c:v>Wed 3-11-26</c:v>
                  </c:pt>
                  <c:pt idx="38">
                    <c:v>Wed 2-25-26</c:v>
                  </c:pt>
                  <c:pt idx="39">
                    <c:v>Wed 3-11-26</c:v>
                  </c:pt>
                  <c:pt idx="40">
                    <c:v>Tue 3-24-26</c:v>
                  </c:pt>
                  <c:pt idx="42">
                    <c:v>Mon 4-06-26</c:v>
                  </c:pt>
                  <c:pt idx="43">
                    <c:v>Sun 4-19-26</c:v>
                  </c:pt>
                  <c:pt idx="44">
                    <c:v>Sat 5-02-26</c:v>
                  </c:pt>
                  <c:pt idx="45">
                    <c:v>Fri 5-15-26</c:v>
                  </c:pt>
                  <c:pt idx="47">
                    <c:v>Wed 4-22-26</c:v>
                  </c:pt>
                  <c:pt idx="48">
                    <c:v>Wed 5-06-26</c:v>
                  </c:pt>
                  <c:pt idx="49">
                    <c:v>Thu 5-07-26</c:v>
                  </c:pt>
                </c:lvl>
                <c:lvl>
                  <c:pt idx="1">
                    <c:v>Mon 11-17-25</c:v>
                  </c:pt>
                  <c:pt idx="3">
                    <c:v>Mon 12-15-25</c:v>
                  </c:pt>
                  <c:pt idx="4">
                    <c:v>Thu 12-25-25</c:v>
                  </c:pt>
                  <c:pt idx="6">
                    <c:v>Mon 1-05-26</c:v>
                  </c:pt>
                  <c:pt idx="7">
                    <c:v>Mon 1-05-26</c:v>
                  </c:pt>
                  <c:pt idx="9">
                    <c:v>Tue 2-03-26</c:v>
                  </c:pt>
                  <c:pt idx="11">
                    <c:v>Mon 11-17-25</c:v>
                  </c:pt>
                  <c:pt idx="12">
                    <c:v>Mon 12-15-25</c:v>
                  </c:pt>
                  <c:pt idx="14">
                    <c:v>Mon 12-15-25</c:v>
                  </c:pt>
                  <c:pt idx="15">
                    <c:v>Mon 12-15-25</c:v>
                  </c:pt>
                  <c:pt idx="17">
                    <c:v>Mon 1-05-26</c:v>
                  </c:pt>
                  <c:pt idx="19">
                    <c:v>Fri 2-13-26</c:v>
                  </c:pt>
                  <c:pt idx="20">
                    <c:v>Thu 2-26-26</c:v>
                  </c:pt>
                  <c:pt idx="23">
                    <c:v>Thu 11-17-22</c:v>
                  </c:pt>
                  <c:pt idx="24">
                    <c:v>Mon 11-17-25</c:v>
                  </c:pt>
                  <c:pt idx="25">
                    <c:v>Mon 12-15-25</c:v>
                  </c:pt>
                  <c:pt idx="26">
                    <c:v>Mon 12-15-25</c:v>
                  </c:pt>
                  <c:pt idx="27">
                    <c:v>Mon 1-05-26</c:v>
                  </c:pt>
                  <c:pt idx="28">
                    <c:v>Sun 1-18-26</c:v>
                  </c:pt>
                  <c:pt idx="29">
                    <c:v>Sat 1-31-26</c:v>
                  </c:pt>
                  <c:pt idx="30">
                    <c:v>Fri 2-13-26</c:v>
                  </c:pt>
                  <c:pt idx="31">
                    <c:v>Thu 2-26-26</c:v>
                  </c:pt>
                  <c:pt idx="33">
                    <c:v>Mon 11-17-25</c:v>
                  </c:pt>
                  <c:pt idx="34">
                    <c:v>Sat 1-31-26</c:v>
                  </c:pt>
                  <c:pt idx="35">
                    <c:v>Fri 2-13-26</c:v>
                  </c:pt>
                  <c:pt idx="36">
                    <c:v>Thu 2-26-26</c:v>
                  </c:pt>
                  <c:pt idx="38">
                    <c:v>Fri 11-28-25</c:v>
                  </c:pt>
                  <c:pt idx="39">
                    <c:v>Thu 2-26-26</c:v>
                  </c:pt>
                  <c:pt idx="40">
                    <c:v>Wed 3-11-26</c:v>
                  </c:pt>
                  <c:pt idx="42">
                    <c:v>Tue 3-24-26</c:v>
                  </c:pt>
                  <c:pt idx="43">
                    <c:v>Mon 4-06-26</c:v>
                  </c:pt>
                  <c:pt idx="44">
                    <c:v>Sun 4-19-26</c:v>
                  </c:pt>
                  <c:pt idx="45">
                    <c:v>Sat 5-02-26</c:v>
                  </c:pt>
                  <c:pt idx="47">
                    <c:v>Tue 3-24-26</c:v>
                  </c:pt>
                  <c:pt idx="48">
                    <c:v>Wed 4-22-26</c:v>
                  </c:pt>
                  <c:pt idx="49">
                    <c:v>Tue 3-24-26</c:v>
                  </c:pt>
                </c:lvl>
                <c:lvl>
                  <c:pt idx="0">
                    <c:v>Ryan</c:v>
                  </c:pt>
                  <c:pt idx="10">
                    <c:v>Ryan</c:v>
                  </c:pt>
                  <c:pt idx="22">
                    <c:v>Ryan</c:v>
                  </c:pt>
                  <c:pt idx="32">
                    <c:v>Ryan</c:v>
                  </c:pt>
                  <c:pt idx="37">
                    <c:v>Jishiv</c:v>
                  </c:pt>
                  <c:pt idx="41">
                    <c:v>Jishiv</c:v>
                  </c:pt>
                  <c:pt idx="46">
                    <c:v>Ryan</c:v>
                  </c:pt>
                </c:lvl>
                <c:lvl>
                  <c:pt idx="0">
                    <c:v>Akash</c:v>
                  </c:pt>
                  <c:pt idx="10">
                    <c:v>Akash</c:v>
                  </c:pt>
                  <c:pt idx="22">
                    <c:v>Parry</c:v>
                  </c:pt>
                  <c:pt idx="32">
                    <c:v>Jishiv</c:v>
                  </c:pt>
                  <c:pt idx="37">
                    <c:v>Parry</c:v>
                  </c:pt>
                  <c:pt idx="41">
                    <c:v>Parry</c:v>
                  </c:pt>
                  <c:pt idx="46">
                    <c:v>Akash</c:v>
                  </c:pt>
                </c:lvl>
                <c:lvl>
                  <c:pt idx="0">
                    <c:v>Networking tasks</c:v>
                  </c:pt>
                  <c:pt idx="1">
                    <c:v>BLE course</c:v>
                  </c:pt>
                  <c:pt idx="2">
                    <c:v>Test 1 Basic functionality - send 1KHz sin wave to hub</c:v>
                  </c:pt>
                  <c:pt idx="3">
                    <c:v>Initiate basic connection to node</c:v>
                  </c:pt>
                  <c:pt idx="4">
                    <c:v>Rx data continuously</c:v>
                  </c:pt>
                  <c:pt idx="5">
                    <c:v>Test 2: Advanced functionality</c:v>
                  </c:pt>
                  <c:pt idx="6">
                    <c:v>Real time Rx from 3+ nodes, with continuous graphs on all 3-10 nodes</c:v>
                  </c:pt>
                  <c:pt idx="7">
                    <c:v>Design and implement adjustment behaviour on different nodes</c:v>
                  </c:pt>
                  <c:pt idx="8">
                    <c:v>Test 3: Data Export</c:v>
                  </c:pt>
                  <c:pt idx="9">
                    <c:v>    Have the ability to upload data throughout the day on a set of sensors.</c:v>
                  </c:pt>
                  <c:pt idx="10">
                    <c:v>HUB/GUI ( turn data into actionable feedback)</c:v>
                  </c:pt>
                  <c:pt idx="11">
                    <c:v>Research and talk people in industry to better understand how our product
can best help them help patients.</c:v>
                  </c:pt>
                  <c:pt idx="12">
                    <c:v>Derived Metrics Dashboard:
Real-time visualization of "3-5" sensors</c:v>
                  </c:pt>
                  <c:pt idx="13">
                    <c:v>Node Management Interface</c:v>
                  </c:pt>
                  <c:pt idx="14">
                    <c:v>    Enable, disable, connect, disconnect, battery life</c:v>
                  </c:pt>
                  <c:pt idx="15">
                    <c:v>    Options to change behaviour of sensors. 
        sampling rate, filtering, additional behaviour of sensors, alert thresh-holds</c:v>
                  </c:pt>
                  <c:pt idx="16">
                    <c:v>Upload mode</c:v>
                  </c:pt>
                  <c:pt idx="17">
                    <c:v>    upload data from sensors onto hub</c:v>
                  </c:pt>
                  <c:pt idx="18">
                    <c:v>Derive usable metrics</c:v>
                  </c:pt>
                  <c:pt idx="19">
                    <c:v>    Derive temperature</c:v>
                  </c:pt>
                  <c:pt idx="20">
                    <c:v>    Derive heart-rate from PPG/ECG signals</c:v>
                  </c:pt>
                  <c:pt idx="21">
                    <c:v>    Calculate respiratory rate from ECG</c:v>
                  </c:pt>
                  <c:pt idx="22">
                    <c:v>Node firmware/sensors</c:v>
                  </c:pt>
                  <c:pt idx="24">
                    <c:v>Nordic SDK COURSE</c:v>
                  </c:pt>
                  <c:pt idx="25">
                    <c:v>Accept basic connection</c:v>
                  </c:pt>
                  <c:pt idx="26">
                    <c:v>Tx data continously</c:v>
                  </c:pt>
                  <c:pt idx="27">
                    <c:v>Tx data with proper ID system</c:v>
                  </c:pt>
                  <c:pt idx="28">
                    <c:v>Code temperature sensor</c:v>
                  </c:pt>
                  <c:pt idx="29">
                    <c:v>Code PPG  and initial validation</c:v>
                  </c:pt>
                  <c:pt idx="30">
                    <c:v>Code ECG and initial validation</c:v>
                  </c:pt>
                  <c:pt idx="31">
                    <c:v>Code EMG and initial validation</c:v>
                  </c:pt>
                  <c:pt idx="32">
                    <c:v>Mechanical design( ensure signals can be properly measured)</c:v>
                  </c:pt>
                  <c:pt idx="33">
                    <c:v>Design and think about Ideal form-factors for sensors</c:v>
                  </c:pt>
                  <c:pt idx="34">
                    <c:v>PPG and temperature</c:v>
                  </c:pt>
                  <c:pt idx="35">
                    <c:v>ECG(chest) - with 3 electrodes</c:v>
                  </c:pt>
                  <c:pt idx="36">
                    <c:v>EMG - with 3 electrodes</c:v>
                  </c:pt>
                  <c:pt idx="37">
                    <c:v>Hardware tasks</c:v>
                  </c:pt>
                  <c:pt idx="38">
                    <c:v>Node PCB</c:v>
                  </c:pt>
                  <c:pt idx="39">
                    <c:v>PPG/Temperature sensor PCB</c:v>
                  </c:pt>
                  <c:pt idx="40">
                    <c:v>1 Lead ECG/EMG PCB</c:v>
                  </c:pt>
                  <c:pt idx="41">
                    <c:v>Testing</c:v>
                  </c:pt>
                  <c:pt idx="42">
                    <c:v>Test sensors</c:v>
                  </c:pt>
                  <c:pt idx="43">
                    <c:v>   Validate sensors with medical equipment from biomedical engineering department</c:v>
                  </c:pt>
                  <c:pt idx="44">
                    <c:v>    Test vital signs in varying conditions such as movement, 
    and varying external environments</c:v>
                  </c:pt>
                  <c:pt idx="45">
                    <c:v>    Collect data spanning several days and interpolating results from it</c:v>
                  </c:pt>
                  <c:pt idx="46">
                    <c:v>Documentation, and Presentation</c:v>
                  </c:pt>
                  <c:pt idx="47">
                    <c:v>Poster</c:v>
                  </c:pt>
                  <c:pt idx="48">
                    <c:v>Practice presentation</c:v>
                  </c:pt>
                  <c:pt idx="49">
                    <c:v>Final documentation of project</c:v>
                  </c:pt>
                </c:lvl>
                <c:lvl>
                  <c:pt idx="0">
                    <c:v>1</c:v>
                  </c:pt>
                  <c:pt idx="1">
                    <c:v>1.1</c:v>
                  </c:pt>
                  <c:pt idx="2">
                    <c:v>1.2</c:v>
                  </c:pt>
                  <c:pt idx="3">
                    <c:v>1.2.1</c:v>
                  </c:pt>
                  <c:pt idx="4">
                    <c:v>1.2.2</c:v>
                  </c:pt>
                  <c:pt idx="5">
                    <c:v>1.3</c:v>
                  </c:pt>
                  <c:pt idx="6">
                    <c:v>1.3.1</c:v>
                  </c:pt>
                  <c:pt idx="7">
                    <c:v>1.3.2</c:v>
                  </c:pt>
                  <c:pt idx="8">
                    <c:v>1.4</c:v>
                  </c:pt>
                  <c:pt idx="9">
                    <c:v>1.4.1</c:v>
                  </c:pt>
                  <c:pt idx="10">
                    <c:v>2</c:v>
                  </c:pt>
                  <c:pt idx="11">
                    <c:v>2.1</c:v>
                  </c:pt>
                  <c:pt idx="12">
                    <c:v>2.2</c:v>
                  </c:pt>
                  <c:pt idx="13">
                    <c:v>2.3</c:v>
                  </c:pt>
                  <c:pt idx="14">
                    <c:v>2.3.1</c:v>
                  </c:pt>
                  <c:pt idx="15">
                    <c:v>2.3.2</c:v>
                  </c:pt>
                  <c:pt idx="16">
                    <c:v>2.4</c:v>
                  </c:pt>
                  <c:pt idx="17">
                    <c:v>2.4.1</c:v>
                  </c:pt>
                  <c:pt idx="18">
                    <c:v>2.5</c:v>
                  </c:pt>
                  <c:pt idx="19">
                    <c:v>2.5.1</c:v>
                  </c:pt>
                  <c:pt idx="20">
                    <c:v>2.5.2</c:v>
                  </c:pt>
                  <c:pt idx="21">
                    <c:v>2.5.3</c:v>
                  </c:pt>
                  <c:pt idx="22">
                    <c:v>3</c:v>
                  </c:pt>
                  <c:pt idx="23">
                    <c:v>3.1</c:v>
                  </c:pt>
                  <c:pt idx="24">
                    <c:v>3.2</c:v>
                  </c:pt>
                  <c:pt idx="25">
                    <c:v>3.3</c:v>
                  </c:pt>
                  <c:pt idx="26">
                    <c:v>3.4</c:v>
                  </c:pt>
                  <c:pt idx="27">
                    <c:v>3.5</c:v>
                  </c:pt>
                  <c:pt idx="28">
                    <c:v>3.6</c:v>
                  </c:pt>
                  <c:pt idx="29">
                    <c:v>3.7</c:v>
                  </c:pt>
                  <c:pt idx="30">
                    <c:v>3.8</c:v>
                  </c:pt>
                  <c:pt idx="31">
                    <c:v>3.9</c:v>
                  </c:pt>
                  <c:pt idx="32">
                    <c:v>4</c:v>
                  </c:pt>
                  <c:pt idx="33">
                    <c:v>4.1</c:v>
                  </c:pt>
                  <c:pt idx="34">
                    <c:v>4.2</c:v>
                  </c:pt>
                  <c:pt idx="35">
                    <c:v>4.3</c:v>
                  </c:pt>
                  <c:pt idx="36">
                    <c:v>4.4</c:v>
                  </c:pt>
                  <c:pt idx="37">
                    <c:v>5</c:v>
                  </c:pt>
                  <c:pt idx="38">
                    <c:v>5.1</c:v>
                  </c:pt>
                  <c:pt idx="39">
                    <c:v>5.2</c:v>
                  </c:pt>
                  <c:pt idx="40">
                    <c:v>5.3</c:v>
                  </c:pt>
                  <c:pt idx="41">
                    <c:v>6</c:v>
                  </c:pt>
                  <c:pt idx="42">
                    <c:v>6.1</c:v>
                  </c:pt>
                  <c:pt idx="43">
                    <c:v>6.1.1</c:v>
                  </c:pt>
                  <c:pt idx="44">
                    <c:v>6.1.2</c:v>
                  </c:pt>
                  <c:pt idx="45">
                    <c:v>6.1.3</c:v>
                  </c:pt>
                  <c:pt idx="46">
                    <c:v>7</c:v>
                  </c:pt>
                  <c:pt idx="47">
                    <c:v>7.1</c:v>
                  </c:pt>
                  <c:pt idx="48">
                    <c:v>7.2</c:v>
                  </c:pt>
                  <c:pt idx="49">
                    <c:v>7.3</c:v>
                  </c:pt>
                </c:lvl>
              </c:multiLvlStrCache>
            </c:multiLvlStrRef>
          </c:cat>
          <c:val>
            <c:numRef>
              <c:f>GanttChart!$I$8:$I$57</c:f>
            </c:numRef>
          </c:val>
          <c:extLst>
            <c:ext xmlns:c16="http://schemas.microsoft.com/office/drawing/2014/chart" uri="{C3380CC4-5D6E-409C-BE32-E72D297353CC}">
              <c16:uniqueId val="{00000002-9325-4299-BAE2-1488158F03BF}"/>
            </c:ext>
          </c:extLst>
        </c:ser>
        <c:dLbls>
          <c:showLegendKey val="0"/>
          <c:showVal val="0"/>
          <c:showCatName val="0"/>
          <c:showSerName val="0"/>
          <c:showPercent val="0"/>
          <c:showBubbleSize val="0"/>
        </c:dLbls>
        <c:gapWidth val="219"/>
        <c:overlap val="-27"/>
        <c:axId val="366436591"/>
        <c:axId val="366435151"/>
      </c:barChart>
      <c:catAx>
        <c:axId val="3664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35151"/>
        <c:crosses val="autoZero"/>
        <c:auto val="1"/>
        <c:lblAlgn val="ctr"/>
        <c:lblOffset val="100"/>
        <c:noMultiLvlLbl val="0"/>
      </c:catAx>
      <c:valAx>
        <c:axId val="366435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3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EFA9A88-DF32-4FC4-9C7D-9E4D63456EF8}">
  <sheetPr/>
  <sheetViews>
    <sheetView zoomScale="11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A5F17B0-D441-43ED-96A1-6AA14BC16EB6}">
  <sheetPr/>
  <sheetViews>
    <sheetView zoomScale="114"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CEA0E79-AC21-4476-ADC4-8A82A08ECFB8}">
  <sheetPr/>
  <sheetViews>
    <sheetView zoomScale="114" workbookViewId="0" zoomToFit="1"/>
  </sheetViews>
  <pageMargins left="0.7" right="0.7" top="0.75" bottom="0.75" header="0.3" footer="0.3"/>
  <drawing r:id="rId1"/>
</chartsheet>
</file>

<file path=xl/ctrlProps/ctrlProp1.xml><?xml version="1.0" encoding="utf-8"?>
<formControlPr xmlns="http://schemas.microsoft.com/office/spreadsheetml/2009/9/main" objectType="Scroll" dx="22" fmlaLink="$H$4" horiz="1" max="100" min="1" page="0" val="19"/>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absoluteAnchor>
    <xdr:pos x="0" y="0"/>
    <xdr:ext cx="8664408" cy="6291513"/>
    <xdr:graphicFrame macro="">
      <xdr:nvGraphicFramePr>
        <xdr:cNvPr id="2" name="Chart 1">
          <a:extLst>
            <a:ext uri="{FF2B5EF4-FFF2-40B4-BE49-F238E27FC236}">
              <a16:creationId xmlns:a16="http://schemas.microsoft.com/office/drawing/2014/main" id="{95B48D8F-EF00-A61E-C6A7-75F87E0F683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4408" cy="6291513"/>
    <xdr:graphicFrame macro="">
      <xdr:nvGraphicFramePr>
        <xdr:cNvPr id="2" name="Chart 1">
          <a:extLst>
            <a:ext uri="{FF2B5EF4-FFF2-40B4-BE49-F238E27FC236}">
              <a16:creationId xmlns:a16="http://schemas.microsoft.com/office/drawing/2014/main" id="{FD5627AF-063B-23CB-CB84-0A9D20DFF9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4408" cy="6291513"/>
    <xdr:graphicFrame macro="">
      <xdr:nvGraphicFramePr>
        <xdr:cNvPr id="2" name="Chart 1">
          <a:extLst>
            <a:ext uri="{FF2B5EF4-FFF2-40B4-BE49-F238E27FC236}">
              <a16:creationId xmlns:a16="http://schemas.microsoft.com/office/drawing/2014/main" id="{4F1F928B-6C41-31D1-792E-D08BD10E14A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editAs="absolute">
    <xdr:from>
      <xdr:col>1</xdr:col>
      <xdr:colOff>4142</xdr:colOff>
      <xdr:row>5</xdr:row>
      <xdr:rowOff>142875</xdr:rowOff>
    </xdr:from>
    <xdr:to>
      <xdr:col>1</xdr:col>
      <xdr:colOff>3651266</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152400</xdr:colOff>
          <xdr:row>1</xdr:row>
          <xdr:rowOff>85725</xdr:rowOff>
        </xdr:from>
        <xdr:to>
          <xdr:col>28</xdr:col>
          <xdr:colOff>114301</xdr:colOff>
          <xdr:row>2</xdr:row>
          <xdr:rowOff>76200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5.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6.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43"/>
  <sheetViews>
    <sheetView showGridLines="0" tabSelected="1" zoomScale="85" zoomScaleNormal="85" workbookViewId="0">
      <pane ySplit="7" topLeftCell="A34" activePane="bottomLeft" state="frozen"/>
      <selection pane="bottomLeft" activeCell="AF64" sqref="AF64"/>
      <extLst>
        <ext xmlns:xlsdti="http://schemas.microsoft.com/office/spreadsheetml/2023/showDataTypeIcons" uri="{77bfe23e-c014-4d31-8a63-9c772dbf06b6}">
          <xlsdti:showDataTypeIcons visible="0"/>
        </ext>
      </extLst>
    </sheetView>
  </sheetViews>
  <sheetFormatPr defaultColWidth="9.140625" defaultRowHeight="12.75" x14ac:dyDescent="0.2"/>
  <cols>
    <col min="1" max="1" width="6.85546875" customWidth="1"/>
    <col min="2" max="2" width="66.7109375" bestFit="1" customWidth="1"/>
    <col min="3" max="3" width="10.85546875" bestFit="1" customWidth="1"/>
    <col min="4" max="4" width="17.42578125" customWidth="1"/>
    <col min="5" max="5" width="12" customWidth="1"/>
    <col min="6" max="6" width="13.5703125" customWidth="1"/>
    <col min="7" max="7" width="8.42578125" customWidth="1"/>
    <col min="8" max="8" width="8.140625" hidden="1" customWidth="1"/>
    <col min="9" max="9" width="8.85546875" hidden="1" customWidth="1"/>
    <col min="10" max="10" width="1.85546875" customWidth="1"/>
    <col min="11" max="66" width="2.42578125" customWidth="1"/>
  </cols>
  <sheetData>
    <row r="1" spans="1:66" ht="30" customHeight="1" x14ac:dyDescent="0.2">
      <c r="A1" s="141" t="s">
        <v>0</v>
      </c>
      <c r="B1" s="58" t="s">
        <v>1</v>
      </c>
      <c r="C1" s="151">
        <v>45978</v>
      </c>
      <c r="D1" s="151"/>
      <c r="E1" s="151"/>
      <c r="F1" s="57"/>
      <c r="G1" s="58" t="s">
        <v>2</v>
      </c>
      <c r="I1" s="101"/>
      <c r="K1" s="149" t="s">
        <v>3</v>
      </c>
      <c r="L1" s="149"/>
      <c r="M1" s="149"/>
      <c r="N1" s="149"/>
      <c r="O1" s="149"/>
      <c r="P1" s="149"/>
      <c r="Q1" s="149"/>
      <c r="R1" s="149"/>
      <c r="S1" s="149"/>
      <c r="T1" s="149"/>
      <c r="U1" s="149"/>
      <c r="V1" s="149"/>
      <c r="W1" s="149"/>
      <c r="X1" s="149"/>
      <c r="Y1" s="149"/>
      <c r="Z1" s="149"/>
      <c r="AA1" s="149"/>
      <c r="AB1" s="149"/>
      <c r="AC1" s="149"/>
      <c r="AD1" s="149"/>
      <c r="AE1" s="149"/>
    </row>
    <row r="2" spans="1:66" ht="18" customHeight="1" x14ac:dyDescent="0.2">
      <c r="A2" s="29"/>
      <c r="B2" s="58"/>
      <c r="C2" s="150"/>
      <c r="D2" s="150"/>
      <c r="E2" s="150"/>
      <c r="F2" s="57"/>
      <c r="G2" s="57"/>
      <c r="H2" s="1"/>
    </row>
    <row r="3" spans="1:66" ht="14.25" x14ac:dyDescent="0.2">
      <c r="A3" s="29"/>
      <c r="B3" s="28"/>
      <c r="C3" s="28"/>
      <c r="D3" s="28"/>
      <c r="E3" s="28"/>
      <c r="F3" s="28"/>
      <c r="G3" s="28"/>
      <c r="H3" s="1"/>
      <c r="K3" s="17"/>
      <c r="L3" s="17"/>
      <c r="M3" s="17"/>
      <c r="N3" s="17"/>
      <c r="O3" s="17"/>
      <c r="P3" s="17"/>
      <c r="Q3" s="17"/>
      <c r="R3" s="17"/>
      <c r="S3" s="17"/>
      <c r="T3" s="17"/>
      <c r="U3" s="17"/>
      <c r="V3" s="17"/>
      <c r="W3" s="17"/>
      <c r="X3" s="17"/>
      <c r="Y3" s="17"/>
      <c r="Z3" s="17"/>
      <c r="AA3" s="17"/>
    </row>
    <row r="4" spans="1:66" ht="17.25" customHeight="1" x14ac:dyDescent="0.2">
      <c r="A4" s="57"/>
      <c r="H4" s="63">
        <v>19</v>
      </c>
      <c r="I4" s="28"/>
      <c r="K4" s="143" t="str">
        <f>"Week "&amp;(K6-($C$1-WEEKDAY($C$1,1)+2))/7+1</f>
        <v>Week 19</v>
      </c>
      <c r="L4" s="144"/>
      <c r="M4" s="144"/>
      <c r="N4" s="144"/>
      <c r="O4" s="144"/>
      <c r="P4" s="144"/>
      <c r="Q4" s="145"/>
      <c r="R4" s="143" t="str">
        <f>"Week "&amp;(R6-($C$1-WEEKDAY($C$1,1)+2))/7+1</f>
        <v>Week 20</v>
      </c>
      <c r="S4" s="144"/>
      <c r="T4" s="144"/>
      <c r="U4" s="144"/>
      <c r="V4" s="144"/>
      <c r="W4" s="144"/>
      <c r="X4" s="145"/>
      <c r="Y4" s="143" t="str">
        <f>"Week "&amp;(Y6-($C$1-WEEKDAY($C$1,1)+2))/7+1</f>
        <v>Week 21</v>
      </c>
      <c r="Z4" s="144"/>
      <c r="AA4" s="144"/>
      <c r="AB4" s="144"/>
      <c r="AC4" s="144"/>
      <c r="AD4" s="144"/>
      <c r="AE4" s="145"/>
      <c r="AF4" s="143" t="str">
        <f>"Week "&amp;(AF6-($C$1-WEEKDAY($C$1,1)+2))/7+1</f>
        <v>Week 22</v>
      </c>
      <c r="AG4" s="144"/>
      <c r="AH4" s="144"/>
      <c r="AI4" s="144"/>
      <c r="AJ4" s="144"/>
      <c r="AK4" s="144"/>
      <c r="AL4" s="145"/>
      <c r="AM4" s="143" t="str">
        <f>"Week "&amp;(AM6-($C$1-WEEKDAY($C$1,1)+2))/7+1</f>
        <v>Week 23</v>
      </c>
      <c r="AN4" s="144"/>
      <c r="AO4" s="144"/>
      <c r="AP4" s="144"/>
      <c r="AQ4" s="144"/>
      <c r="AR4" s="144"/>
      <c r="AS4" s="145"/>
      <c r="AT4" s="143" t="str">
        <f>"Week "&amp;(AT6-($C$1-WEEKDAY($C$1,1)+2))/7+1</f>
        <v>Week 24</v>
      </c>
      <c r="AU4" s="144"/>
      <c r="AV4" s="144"/>
      <c r="AW4" s="144"/>
      <c r="AX4" s="144"/>
      <c r="AY4" s="144"/>
      <c r="AZ4" s="145"/>
      <c r="BA4" s="143" t="str">
        <f>"Week "&amp;(BA6-($C$1-WEEKDAY($C$1,1)+2))/7+1</f>
        <v>Week 25</v>
      </c>
      <c r="BB4" s="144"/>
      <c r="BC4" s="144"/>
      <c r="BD4" s="144"/>
      <c r="BE4" s="144"/>
      <c r="BF4" s="144"/>
      <c r="BG4" s="145"/>
      <c r="BH4" s="143" t="str">
        <f>"Week "&amp;(BH6-($C$1-WEEKDAY($C$1,1)+2))/7+1</f>
        <v>Week 26</v>
      </c>
      <c r="BI4" s="144"/>
      <c r="BJ4" s="144"/>
      <c r="BK4" s="144"/>
      <c r="BL4" s="144"/>
      <c r="BM4" s="144"/>
      <c r="BN4" s="145"/>
    </row>
    <row r="5" spans="1:66" ht="17.25" customHeight="1" x14ac:dyDescent="0.2">
      <c r="A5" s="57"/>
      <c r="H5" s="57"/>
      <c r="I5" s="57"/>
      <c r="J5" s="28"/>
      <c r="K5" s="146">
        <f>K6</f>
        <v>46104</v>
      </c>
      <c r="L5" s="147"/>
      <c r="M5" s="147"/>
      <c r="N5" s="147"/>
      <c r="O5" s="147"/>
      <c r="P5" s="147"/>
      <c r="Q5" s="148"/>
      <c r="R5" s="146">
        <f>R6</f>
        <v>46111</v>
      </c>
      <c r="S5" s="147"/>
      <c r="T5" s="147"/>
      <c r="U5" s="147"/>
      <c r="V5" s="147"/>
      <c r="W5" s="147"/>
      <c r="X5" s="148"/>
      <c r="Y5" s="146">
        <f>Y6</f>
        <v>46118</v>
      </c>
      <c r="Z5" s="147"/>
      <c r="AA5" s="147"/>
      <c r="AB5" s="147"/>
      <c r="AC5" s="147"/>
      <c r="AD5" s="147"/>
      <c r="AE5" s="148"/>
      <c r="AF5" s="146">
        <f>AF6</f>
        <v>46125</v>
      </c>
      <c r="AG5" s="147"/>
      <c r="AH5" s="147"/>
      <c r="AI5" s="147"/>
      <c r="AJ5" s="147"/>
      <c r="AK5" s="147"/>
      <c r="AL5" s="148"/>
      <c r="AM5" s="146">
        <f>AM6</f>
        <v>46132</v>
      </c>
      <c r="AN5" s="147"/>
      <c r="AO5" s="147"/>
      <c r="AP5" s="147"/>
      <c r="AQ5" s="147"/>
      <c r="AR5" s="147"/>
      <c r="AS5" s="148"/>
      <c r="AT5" s="146">
        <f>AT6</f>
        <v>46139</v>
      </c>
      <c r="AU5" s="147"/>
      <c r="AV5" s="147"/>
      <c r="AW5" s="147"/>
      <c r="AX5" s="147"/>
      <c r="AY5" s="147"/>
      <c r="AZ5" s="148"/>
      <c r="BA5" s="146">
        <f>BA6</f>
        <v>46146</v>
      </c>
      <c r="BB5" s="147"/>
      <c r="BC5" s="147"/>
      <c r="BD5" s="147"/>
      <c r="BE5" s="147"/>
      <c r="BF5" s="147"/>
      <c r="BG5" s="148"/>
      <c r="BH5" s="146">
        <f>BH6</f>
        <v>46153</v>
      </c>
      <c r="BI5" s="147"/>
      <c r="BJ5" s="147"/>
      <c r="BK5" s="147"/>
      <c r="BL5" s="147"/>
      <c r="BM5" s="147"/>
      <c r="BN5" s="148"/>
    </row>
    <row r="6" spans="1:66" x14ac:dyDescent="0.2">
      <c r="A6" s="28"/>
      <c r="H6" s="28"/>
      <c r="I6" s="28"/>
      <c r="J6" s="28"/>
      <c r="K6" s="48">
        <f>C1-WEEKDAY(C1,1)+2+7*(H4-1)</f>
        <v>46104</v>
      </c>
      <c r="L6" s="47">
        <f t="shared" ref="L6:AQ6" si="0">K6+1</f>
        <v>46105</v>
      </c>
      <c r="M6" s="47">
        <f t="shared" si="0"/>
        <v>46106</v>
      </c>
      <c r="N6" s="47">
        <f t="shared" si="0"/>
        <v>46107</v>
      </c>
      <c r="O6" s="47">
        <f t="shared" si="0"/>
        <v>46108</v>
      </c>
      <c r="P6" s="47">
        <f t="shared" si="0"/>
        <v>46109</v>
      </c>
      <c r="Q6" s="49">
        <f t="shared" si="0"/>
        <v>46110</v>
      </c>
      <c r="R6" s="48">
        <f t="shared" si="0"/>
        <v>46111</v>
      </c>
      <c r="S6" s="47">
        <f t="shared" si="0"/>
        <v>46112</v>
      </c>
      <c r="T6" s="47">
        <f t="shared" si="0"/>
        <v>46113</v>
      </c>
      <c r="U6" s="47">
        <f t="shared" si="0"/>
        <v>46114</v>
      </c>
      <c r="V6" s="47">
        <f t="shared" si="0"/>
        <v>46115</v>
      </c>
      <c r="W6" s="47">
        <f t="shared" si="0"/>
        <v>46116</v>
      </c>
      <c r="X6" s="49">
        <f t="shared" si="0"/>
        <v>46117</v>
      </c>
      <c r="Y6" s="48">
        <f t="shared" si="0"/>
        <v>46118</v>
      </c>
      <c r="Z6" s="47">
        <f t="shared" si="0"/>
        <v>46119</v>
      </c>
      <c r="AA6" s="47">
        <f t="shared" si="0"/>
        <v>46120</v>
      </c>
      <c r="AB6" s="47">
        <f t="shared" si="0"/>
        <v>46121</v>
      </c>
      <c r="AC6" s="47">
        <f t="shared" si="0"/>
        <v>46122</v>
      </c>
      <c r="AD6" s="47">
        <f t="shared" si="0"/>
        <v>46123</v>
      </c>
      <c r="AE6" s="49">
        <f t="shared" si="0"/>
        <v>46124</v>
      </c>
      <c r="AF6" s="48">
        <f t="shared" si="0"/>
        <v>46125</v>
      </c>
      <c r="AG6" s="47">
        <f t="shared" si="0"/>
        <v>46126</v>
      </c>
      <c r="AH6" s="47">
        <f t="shared" si="0"/>
        <v>46127</v>
      </c>
      <c r="AI6" s="47">
        <f t="shared" si="0"/>
        <v>46128</v>
      </c>
      <c r="AJ6" s="47">
        <f t="shared" si="0"/>
        <v>46129</v>
      </c>
      <c r="AK6" s="47">
        <f t="shared" si="0"/>
        <v>46130</v>
      </c>
      <c r="AL6" s="49">
        <f t="shared" si="0"/>
        <v>46131</v>
      </c>
      <c r="AM6" s="48">
        <f t="shared" si="0"/>
        <v>46132</v>
      </c>
      <c r="AN6" s="47">
        <f t="shared" si="0"/>
        <v>46133</v>
      </c>
      <c r="AO6" s="47">
        <f t="shared" si="0"/>
        <v>46134</v>
      </c>
      <c r="AP6" s="47">
        <f t="shared" si="0"/>
        <v>46135</v>
      </c>
      <c r="AQ6" s="47">
        <f t="shared" si="0"/>
        <v>46136</v>
      </c>
      <c r="AR6" s="47">
        <f t="shared" ref="AR6:BN6" si="1">AQ6+1</f>
        <v>46137</v>
      </c>
      <c r="AS6" s="49">
        <f t="shared" si="1"/>
        <v>46138</v>
      </c>
      <c r="AT6" s="48">
        <f t="shared" si="1"/>
        <v>46139</v>
      </c>
      <c r="AU6" s="47">
        <f t="shared" si="1"/>
        <v>46140</v>
      </c>
      <c r="AV6" s="47">
        <f t="shared" si="1"/>
        <v>46141</v>
      </c>
      <c r="AW6" s="47">
        <f t="shared" si="1"/>
        <v>46142</v>
      </c>
      <c r="AX6" s="47">
        <f t="shared" si="1"/>
        <v>46143</v>
      </c>
      <c r="AY6" s="47">
        <f t="shared" si="1"/>
        <v>46144</v>
      </c>
      <c r="AZ6" s="49">
        <f t="shared" si="1"/>
        <v>46145</v>
      </c>
      <c r="BA6" s="48">
        <f t="shared" si="1"/>
        <v>46146</v>
      </c>
      <c r="BB6" s="47">
        <f t="shared" si="1"/>
        <v>46147</v>
      </c>
      <c r="BC6" s="47">
        <f t="shared" si="1"/>
        <v>46148</v>
      </c>
      <c r="BD6" s="47">
        <f t="shared" si="1"/>
        <v>46149</v>
      </c>
      <c r="BE6" s="47">
        <f t="shared" si="1"/>
        <v>46150</v>
      </c>
      <c r="BF6" s="47">
        <f t="shared" si="1"/>
        <v>46151</v>
      </c>
      <c r="BG6" s="49">
        <f t="shared" si="1"/>
        <v>46152</v>
      </c>
      <c r="BH6" s="48">
        <f t="shared" si="1"/>
        <v>46153</v>
      </c>
      <c r="BI6" s="47">
        <f t="shared" si="1"/>
        <v>46154</v>
      </c>
      <c r="BJ6" s="47">
        <f t="shared" si="1"/>
        <v>46155</v>
      </c>
      <c r="BK6" s="47">
        <f t="shared" si="1"/>
        <v>46156</v>
      </c>
      <c r="BL6" s="47">
        <f t="shared" si="1"/>
        <v>46157</v>
      </c>
      <c r="BM6" s="47">
        <f t="shared" si="1"/>
        <v>46158</v>
      </c>
      <c r="BN6" s="49">
        <f t="shared" si="1"/>
        <v>46159</v>
      </c>
    </row>
    <row r="7" spans="1:66" s="2" customFormat="1" ht="24.75" thickBot="1" x14ac:dyDescent="0.25">
      <c r="A7" s="102" t="s">
        <v>4</v>
      </c>
      <c r="B7" s="102" t="s">
        <v>5</v>
      </c>
      <c r="C7" s="103" t="s">
        <v>6</v>
      </c>
      <c r="D7" s="104" t="s">
        <v>7</v>
      </c>
      <c r="E7" s="105" t="s">
        <v>8</v>
      </c>
      <c r="F7" s="105" t="s">
        <v>9</v>
      </c>
      <c r="G7" s="103" t="s">
        <v>10</v>
      </c>
      <c r="H7" s="103" t="s">
        <v>11</v>
      </c>
      <c r="I7" s="103" t="s">
        <v>12</v>
      </c>
      <c r="J7" s="59"/>
      <c r="K7" s="60" t="str">
        <f t="shared" ref="K7:AP7" si="2">CHOOSE(WEEKDAY(K6,1),"S","M","T","W","T","F","S")</f>
        <v>M</v>
      </c>
      <c r="L7" s="61" t="str">
        <f t="shared" si="2"/>
        <v>T</v>
      </c>
      <c r="M7" s="61" t="str">
        <f t="shared" si="2"/>
        <v>W</v>
      </c>
      <c r="N7" s="61" t="str">
        <f t="shared" si="2"/>
        <v>T</v>
      </c>
      <c r="O7" s="61" t="str">
        <f t="shared" si="2"/>
        <v>F</v>
      </c>
      <c r="P7" s="61" t="str">
        <f t="shared" si="2"/>
        <v>S</v>
      </c>
      <c r="Q7" s="62" t="str">
        <f t="shared" si="2"/>
        <v>S</v>
      </c>
      <c r="R7" s="60" t="str">
        <f t="shared" si="2"/>
        <v>M</v>
      </c>
      <c r="S7" s="61" t="str">
        <f t="shared" si="2"/>
        <v>T</v>
      </c>
      <c r="T7" s="61" t="str">
        <f t="shared" si="2"/>
        <v>W</v>
      </c>
      <c r="U7" s="61" t="str">
        <f t="shared" si="2"/>
        <v>T</v>
      </c>
      <c r="V7" s="61" t="str">
        <f t="shared" si="2"/>
        <v>F</v>
      </c>
      <c r="W7" s="61" t="str">
        <f t="shared" si="2"/>
        <v>S</v>
      </c>
      <c r="X7" s="62" t="str">
        <f t="shared" si="2"/>
        <v>S</v>
      </c>
      <c r="Y7" s="60" t="str">
        <f t="shared" si="2"/>
        <v>M</v>
      </c>
      <c r="Z7" s="61" t="str">
        <f t="shared" si="2"/>
        <v>T</v>
      </c>
      <c r="AA7" s="61" t="str">
        <f t="shared" si="2"/>
        <v>W</v>
      </c>
      <c r="AB7" s="61" t="str">
        <f t="shared" si="2"/>
        <v>T</v>
      </c>
      <c r="AC7" s="61" t="str">
        <f t="shared" si="2"/>
        <v>F</v>
      </c>
      <c r="AD7" s="61" t="str">
        <f t="shared" si="2"/>
        <v>S</v>
      </c>
      <c r="AE7" s="62" t="str">
        <f t="shared" si="2"/>
        <v>S</v>
      </c>
      <c r="AF7" s="60" t="str">
        <f t="shared" si="2"/>
        <v>M</v>
      </c>
      <c r="AG7" s="61" t="str">
        <f t="shared" si="2"/>
        <v>T</v>
      </c>
      <c r="AH7" s="61" t="str">
        <f t="shared" si="2"/>
        <v>W</v>
      </c>
      <c r="AI7" s="61" t="str">
        <f t="shared" si="2"/>
        <v>T</v>
      </c>
      <c r="AJ7" s="61" t="str">
        <f t="shared" si="2"/>
        <v>F</v>
      </c>
      <c r="AK7" s="61" t="str">
        <f t="shared" si="2"/>
        <v>S</v>
      </c>
      <c r="AL7" s="62" t="str">
        <f t="shared" si="2"/>
        <v>S</v>
      </c>
      <c r="AM7" s="60" t="str">
        <f t="shared" si="2"/>
        <v>M</v>
      </c>
      <c r="AN7" s="61" t="str">
        <f t="shared" si="2"/>
        <v>T</v>
      </c>
      <c r="AO7" s="61" t="str">
        <f t="shared" si="2"/>
        <v>W</v>
      </c>
      <c r="AP7" s="61" t="str">
        <f t="shared" si="2"/>
        <v>T</v>
      </c>
      <c r="AQ7" s="61" t="str">
        <f t="shared" ref="AQ7:BN7" si="3">CHOOSE(WEEKDAY(AQ6,1),"S","M","T","W","T","F","S")</f>
        <v>F</v>
      </c>
      <c r="AR7" s="61" t="str">
        <f t="shared" si="3"/>
        <v>S</v>
      </c>
      <c r="AS7" s="62" t="str">
        <f t="shared" si="3"/>
        <v>S</v>
      </c>
      <c r="AT7" s="60" t="str">
        <f t="shared" si="3"/>
        <v>M</v>
      </c>
      <c r="AU7" s="61" t="str">
        <f t="shared" si="3"/>
        <v>T</v>
      </c>
      <c r="AV7" s="61" t="str">
        <f t="shared" si="3"/>
        <v>W</v>
      </c>
      <c r="AW7" s="61" t="str">
        <f t="shared" si="3"/>
        <v>T</v>
      </c>
      <c r="AX7" s="61" t="str">
        <f t="shared" si="3"/>
        <v>F</v>
      </c>
      <c r="AY7" s="61" t="str">
        <f t="shared" si="3"/>
        <v>S</v>
      </c>
      <c r="AZ7" s="62" t="str">
        <f t="shared" si="3"/>
        <v>S</v>
      </c>
      <c r="BA7" s="60" t="str">
        <f t="shared" si="3"/>
        <v>M</v>
      </c>
      <c r="BB7" s="61" t="str">
        <f t="shared" si="3"/>
        <v>T</v>
      </c>
      <c r="BC7" s="61" t="str">
        <f t="shared" si="3"/>
        <v>W</v>
      </c>
      <c r="BD7" s="61" t="str">
        <f t="shared" si="3"/>
        <v>T</v>
      </c>
      <c r="BE7" s="61" t="str">
        <f t="shared" si="3"/>
        <v>F</v>
      </c>
      <c r="BF7" s="61" t="str">
        <f t="shared" si="3"/>
        <v>S</v>
      </c>
      <c r="BG7" s="62" t="str">
        <f t="shared" si="3"/>
        <v>S</v>
      </c>
      <c r="BH7" s="60" t="str">
        <f t="shared" si="3"/>
        <v>M</v>
      </c>
      <c r="BI7" s="61" t="str">
        <f t="shared" si="3"/>
        <v>T</v>
      </c>
      <c r="BJ7" s="61" t="str">
        <f t="shared" si="3"/>
        <v>W</v>
      </c>
      <c r="BK7" s="61" t="str">
        <f t="shared" si="3"/>
        <v>T</v>
      </c>
      <c r="BL7" s="61" t="str">
        <f t="shared" si="3"/>
        <v>F</v>
      </c>
      <c r="BM7" s="61" t="str">
        <f t="shared" si="3"/>
        <v>S</v>
      </c>
      <c r="BN7" s="62" t="str">
        <f t="shared" si="3"/>
        <v>S</v>
      </c>
    </row>
    <row r="8" spans="1:66" s="130" customFormat="1" ht="18" x14ac:dyDescent="0.2">
      <c r="A8" s="122" t="str">
        <f>IF(ISERROR(VALUE(SUBSTITUTE(prevWBS,".",""))),"1",IF(ISERROR(FIND("`",SUBSTITUTE(prevWBS,".","`",1))),TEXT(VALUE(prevWBS)+1,"#"),TEXT(VALUE(LEFT(prevWBS,FIND("`",SUBSTITUTE(prevWBS,".","`",1))-1))+1,"#")))</f>
        <v>1</v>
      </c>
      <c r="B8" s="123" t="s">
        <v>13</v>
      </c>
      <c r="C8" s="123" t="s">
        <v>14</v>
      </c>
      <c r="D8" s="137" t="s">
        <v>15</v>
      </c>
      <c r="E8" s="131"/>
      <c r="F8" s="124"/>
      <c r="G8" s="125"/>
      <c r="H8" s="126"/>
      <c r="I8" s="127"/>
      <c r="J8" s="132"/>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c r="BM8" s="133"/>
      <c r="BN8" s="133"/>
    </row>
    <row r="9" spans="1:66" s="31" customFormat="1" ht="18" x14ac:dyDescent="0.2">
      <c r="A9"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42" t="s">
        <v>16</v>
      </c>
      <c r="D9" s="109"/>
      <c r="E9" s="110">
        <v>45978</v>
      </c>
      <c r="F9" s="111">
        <f>IF(ISBLANK(E9)," - ",IF(G9=0,E9,E9+G9-1))</f>
        <v>45999</v>
      </c>
      <c r="G9" s="112">
        <v>22</v>
      </c>
      <c r="H9" s="113">
        <f>I9/G9</f>
        <v>4.5454545454545451E-8</v>
      </c>
      <c r="I9" s="114">
        <v>9.9999999999999995E-7</v>
      </c>
      <c r="J9" s="5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row>
    <row r="10" spans="1:66" s="31" customFormat="1" ht="18" x14ac:dyDescent="0.2">
      <c r="A10"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0" s="115" t="s">
        <v>17</v>
      </c>
      <c r="C10" s="108"/>
      <c r="D10" s="109"/>
      <c r="E10" s="110"/>
      <c r="F10" s="111"/>
      <c r="G10" s="112"/>
      <c r="H10" s="113"/>
      <c r="I10" s="114"/>
      <c r="J10" s="5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row>
    <row r="11" spans="1:66" s="31" customFormat="1" ht="18" x14ac:dyDescent="0.2">
      <c r="A11"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1.2.1</v>
      </c>
      <c r="B11" s="116" t="s">
        <v>18</v>
      </c>
      <c r="C11" s="108"/>
      <c r="D11" s="109"/>
      <c r="E11" s="110">
        <v>46006</v>
      </c>
      <c r="F11" s="111">
        <f t="shared" ref="F11:F44" si="4">IF(ISBLANK(E11)," - ",IF(G11=0,E11,E11+G11-1))</f>
        <v>46016</v>
      </c>
      <c r="G11" s="112">
        <v>11</v>
      </c>
      <c r="H11" s="113">
        <f t="shared" ref="H11:H48" si="5">I11/G11</f>
        <v>9.0909090909090901E-8</v>
      </c>
      <c r="I11" s="114">
        <v>9.9999999999999995E-7</v>
      </c>
      <c r="J11" s="5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row>
    <row r="12" spans="1:66" s="31" customFormat="1" ht="18" x14ac:dyDescent="0.2">
      <c r="A12"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1.2.2</v>
      </c>
      <c r="B12" s="116" t="s">
        <v>19</v>
      </c>
      <c r="C12" s="108"/>
      <c r="D12" s="109"/>
      <c r="E12" s="110">
        <v>46016</v>
      </c>
      <c r="F12" s="111">
        <f t="shared" si="4"/>
        <v>46026</v>
      </c>
      <c r="G12" s="112">
        <v>11</v>
      </c>
      <c r="H12" s="113">
        <f t="shared" si="5"/>
        <v>9.0909090909090901E-8</v>
      </c>
      <c r="I12" s="114">
        <v>9.9999999999999995E-7</v>
      </c>
      <c r="J12" s="50"/>
      <c r="K12" s="30"/>
      <c r="L12" s="30"/>
      <c r="M12" s="56"/>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row>
    <row r="13" spans="1:66" s="31" customFormat="1" ht="18" x14ac:dyDescent="0.2">
      <c r="A13"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3" s="115" t="s">
        <v>20</v>
      </c>
      <c r="C13" s="108"/>
      <c r="D13" s="109"/>
      <c r="E13" s="110"/>
      <c r="F13" s="111"/>
      <c r="G13" s="112"/>
      <c r="H13" s="113"/>
      <c r="I13" s="114"/>
      <c r="J13" s="5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row>
    <row r="14" spans="1:66" s="31" customFormat="1" ht="18" x14ac:dyDescent="0.2">
      <c r="A14"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1.3.1</v>
      </c>
      <c r="B14" s="107" t="s">
        <v>21</v>
      </c>
      <c r="C14" s="108"/>
      <c r="D14" s="109"/>
      <c r="E14" s="110">
        <v>46027</v>
      </c>
      <c r="F14" s="111">
        <f t="shared" si="4"/>
        <v>46040</v>
      </c>
      <c r="G14" s="112">
        <v>14</v>
      </c>
      <c r="H14" s="113">
        <f t="shared" si="5"/>
        <v>7.1428571428571423E-8</v>
      </c>
      <c r="I14" s="114">
        <v>9.9999999999999995E-7</v>
      </c>
      <c r="J14" s="5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row>
    <row r="15" spans="1:66" s="31" customFormat="1" ht="18" x14ac:dyDescent="0.2">
      <c r="A15"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1.3.2</v>
      </c>
      <c r="B15" s="117" t="s">
        <v>189</v>
      </c>
      <c r="C15" s="108"/>
      <c r="D15" s="109"/>
      <c r="E15" s="110">
        <v>46027</v>
      </c>
      <c r="F15" s="111">
        <f t="shared" si="4"/>
        <v>46050</v>
      </c>
      <c r="G15" s="112">
        <v>24</v>
      </c>
      <c r="H15" s="113">
        <f t="shared" si="5"/>
        <v>4.1666666666666663E-8</v>
      </c>
      <c r="I15" s="114">
        <v>9.9999999999999995E-7</v>
      </c>
      <c r="J15" s="5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row>
    <row r="16" spans="1:66" s="31" customFormat="1" ht="18" x14ac:dyDescent="0.2">
      <c r="A16"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6" s="118" t="s">
        <v>22</v>
      </c>
      <c r="C16" s="108"/>
      <c r="D16" s="109"/>
      <c r="E16" s="110"/>
      <c r="F16" s="111"/>
      <c r="G16" s="112"/>
      <c r="H16" s="113"/>
      <c r="I16" s="114">
        <v>0</v>
      </c>
      <c r="J16" s="5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row>
    <row r="17" spans="1:66" s="31" customFormat="1" ht="18" x14ac:dyDescent="0.2">
      <c r="A17"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7" s="142" t="s">
        <v>23</v>
      </c>
      <c r="C17" s="108"/>
      <c r="D17" s="109"/>
      <c r="E17" s="110">
        <v>46056</v>
      </c>
      <c r="F17" s="111">
        <f t="shared" si="4"/>
        <v>46076</v>
      </c>
      <c r="G17" s="112">
        <v>21</v>
      </c>
      <c r="H17" s="113">
        <f t="shared" si="5"/>
        <v>4.761904761904762E-8</v>
      </c>
      <c r="I17" s="114">
        <v>9.9999999999999995E-7</v>
      </c>
      <c r="J17" s="5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row>
    <row r="18" spans="1:66" s="130" customFormat="1" ht="18" x14ac:dyDescent="0.2">
      <c r="A18" s="122" t="str">
        <f>IF(ISERROR(VALUE(SUBSTITUTE(prevWBS,".",""))),"1",IF(ISERROR(FIND("`",SUBSTITUTE(prevWBS,".","`",1))),TEXT(VALUE(prevWBS)+1,"#"),TEXT(VALUE(LEFT(prevWBS,FIND("`",SUBSTITUTE(prevWBS,".","`",1))-1))+1,"#")))</f>
        <v>2</v>
      </c>
      <c r="B18" s="123" t="s">
        <v>24</v>
      </c>
      <c r="C18" s="123" t="s">
        <v>14</v>
      </c>
      <c r="D18" s="137" t="s">
        <v>15</v>
      </c>
      <c r="E18" s="124"/>
      <c r="F18" s="124"/>
      <c r="G18" s="125"/>
      <c r="H18" s="124"/>
      <c r="I18" s="125"/>
      <c r="J18" s="128"/>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row>
    <row r="19" spans="1:66" s="31" customFormat="1" ht="24" x14ac:dyDescent="0.2">
      <c r="A19" s="106" t="str">
        <f t="shared" ref="A19:A26"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119" t="s">
        <v>25</v>
      </c>
      <c r="D19" s="109"/>
      <c r="E19" s="110">
        <v>45978</v>
      </c>
      <c r="F19" s="111">
        <f t="shared" si="4"/>
        <v>45992</v>
      </c>
      <c r="G19" s="112">
        <v>15</v>
      </c>
      <c r="H19" s="113">
        <f t="shared" si="5"/>
        <v>6.6666666666666668E-8</v>
      </c>
      <c r="I19" s="114">
        <v>9.9999999999999995E-7</v>
      </c>
      <c r="J19" s="5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row>
    <row r="20" spans="1:66" s="31" customFormat="1" ht="24" x14ac:dyDescent="0.2">
      <c r="A20" s="106" t="str">
        <f t="shared" si="6"/>
        <v>2.2</v>
      </c>
      <c r="B20" s="119" t="s">
        <v>178</v>
      </c>
      <c r="C20" s="108"/>
      <c r="D20" s="109"/>
      <c r="E20" s="110">
        <v>46006</v>
      </c>
      <c r="F20" s="111">
        <f t="shared" si="4"/>
        <v>46027</v>
      </c>
      <c r="G20" s="112">
        <v>22</v>
      </c>
      <c r="H20" s="113">
        <f t="shared" si="5"/>
        <v>4.5454545454545451E-8</v>
      </c>
      <c r="I20" s="114">
        <v>9.9999999999999995E-7</v>
      </c>
      <c r="J20" s="5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row>
    <row r="21" spans="1:66" s="31" customFormat="1" ht="18" x14ac:dyDescent="0.2">
      <c r="A21" s="106" t="str">
        <f t="shared" si="6"/>
        <v>2.3</v>
      </c>
      <c r="B21" s="115" t="s">
        <v>26</v>
      </c>
      <c r="C21" s="108"/>
      <c r="D21" s="109"/>
      <c r="E21" s="110"/>
      <c r="F21" s="111"/>
      <c r="G21" s="112"/>
      <c r="H21" s="113"/>
      <c r="I21" s="114"/>
      <c r="J21" s="5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row>
    <row r="22" spans="1:66" s="31" customFormat="1" ht="18" x14ac:dyDescent="0.2">
      <c r="A22"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2.3.1</v>
      </c>
      <c r="B22" s="116" t="s">
        <v>27</v>
      </c>
      <c r="C22" s="108"/>
      <c r="D22" s="109"/>
      <c r="E22" s="110">
        <v>46006</v>
      </c>
      <c r="F22" s="111">
        <f t="shared" ref="F22:F28" si="7">IF(ISBLANK(E22)," - ",IF(G22=0,E22,E22+G22-1))</f>
        <v>46027</v>
      </c>
      <c r="G22" s="112">
        <v>22</v>
      </c>
      <c r="H22" s="113">
        <f t="shared" si="5"/>
        <v>4.5454545454545451E-8</v>
      </c>
      <c r="I22" s="114">
        <v>9.9999999999999995E-7</v>
      </c>
      <c r="J22" s="5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row>
    <row r="23" spans="1:66" s="31" customFormat="1" ht="24" x14ac:dyDescent="0.2">
      <c r="A23"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2.3.2</v>
      </c>
      <c r="B23" s="140" t="s">
        <v>28</v>
      </c>
      <c r="C23" s="108"/>
      <c r="D23" s="109"/>
      <c r="E23" s="110">
        <v>46006</v>
      </c>
      <c r="F23" s="111">
        <f t="shared" si="7"/>
        <v>46027</v>
      </c>
      <c r="G23" s="112">
        <v>22</v>
      </c>
      <c r="H23" s="113">
        <f t="shared" si="5"/>
        <v>4.5454545454545451E-8</v>
      </c>
      <c r="I23" s="114">
        <v>9.9999999999999995E-7</v>
      </c>
      <c r="J23" s="5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row>
    <row r="24" spans="1:66" s="31" customFormat="1" ht="18" x14ac:dyDescent="0.2">
      <c r="A24" s="106" t="str">
        <f t="shared" si="6"/>
        <v>2.4</v>
      </c>
      <c r="B24" s="120" t="s">
        <v>29</v>
      </c>
      <c r="C24" s="108"/>
      <c r="D24" s="109"/>
      <c r="E24" s="110"/>
      <c r="F24" s="111"/>
      <c r="G24" s="112"/>
      <c r="H24" s="113"/>
      <c r="I24" s="114"/>
      <c r="J24" s="5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row>
    <row r="25" spans="1:66" s="31" customFormat="1" ht="18" x14ac:dyDescent="0.2">
      <c r="A25"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2.4.1</v>
      </c>
      <c r="B25" s="119" t="s">
        <v>30</v>
      </c>
      <c r="C25" s="108"/>
      <c r="D25" s="109"/>
      <c r="E25" s="110">
        <v>46027</v>
      </c>
      <c r="F25" s="111">
        <f t="shared" si="7"/>
        <v>46048</v>
      </c>
      <c r="G25" s="112">
        <v>22</v>
      </c>
      <c r="H25" s="113">
        <f t="shared" si="5"/>
        <v>4.5454545454545451E-8</v>
      </c>
      <c r="I25" s="114">
        <v>9.9999999999999995E-7</v>
      </c>
      <c r="J25" s="5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row>
    <row r="26" spans="1:66" s="31" customFormat="1" ht="18" x14ac:dyDescent="0.2">
      <c r="A26" s="106" t="str">
        <f t="shared" si="6"/>
        <v>2.5</v>
      </c>
      <c r="B26" s="120" t="s">
        <v>31</v>
      </c>
      <c r="C26" s="108"/>
      <c r="D26" s="109"/>
      <c r="E26" s="110"/>
      <c r="F26" s="111"/>
      <c r="G26" s="112"/>
      <c r="H26" s="113"/>
      <c r="I26" s="114"/>
      <c r="J26" s="5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row>
    <row r="27" spans="1:66" s="31" customFormat="1" ht="18" x14ac:dyDescent="0.2">
      <c r="A27"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2.5.1</v>
      </c>
      <c r="B27" s="116" t="s">
        <v>183</v>
      </c>
      <c r="C27" s="108"/>
      <c r="D27" s="109"/>
      <c r="E27" s="110">
        <v>46066</v>
      </c>
      <c r="F27" s="111">
        <f t="shared" si="7"/>
        <v>46093</v>
      </c>
      <c r="G27" s="112">
        <v>28</v>
      </c>
      <c r="H27" s="113">
        <f t="shared" si="5"/>
        <v>3.5714285714285712E-8</v>
      </c>
      <c r="I27" s="114">
        <v>9.9999999999999995E-7</v>
      </c>
      <c r="J27" s="5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row>
    <row r="28" spans="1:66" s="31" customFormat="1" ht="18" x14ac:dyDescent="0.2">
      <c r="A28"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2.5.2</v>
      </c>
      <c r="B28" s="116" t="s">
        <v>179</v>
      </c>
      <c r="C28" s="108"/>
      <c r="D28" s="109"/>
      <c r="E28" s="110">
        <v>46079</v>
      </c>
      <c r="F28" s="111">
        <f t="shared" si="7"/>
        <v>46092</v>
      </c>
      <c r="G28" s="112">
        <v>14</v>
      </c>
      <c r="H28" s="113">
        <f t="shared" si="5"/>
        <v>7.1428571428571423E-8</v>
      </c>
      <c r="I28" s="114">
        <v>9.9999999999999995E-7</v>
      </c>
      <c r="J28" s="5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row>
    <row r="29" spans="1:66" s="31" customFormat="1" ht="18" x14ac:dyDescent="0.2">
      <c r="A29"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2.5.3</v>
      </c>
      <c r="B29" s="116" t="s">
        <v>32</v>
      </c>
      <c r="C29" s="108"/>
      <c r="D29" s="109"/>
      <c r="E29" s="110"/>
      <c r="F29" s="111"/>
      <c r="G29" s="112"/>
      <c r="H29" s="113" t="e">
        <f t="shared" si="5"/>
        <v>#DIV/0!</v>
      </c>
      <c r="I29" s="114">
        <v>9.9999999999999995E-7</v>
      </c>
      <c r="J29" s="50"/>
      <c r="K29" s="30"/>
      <c r="L29" s="30"/>
      <c r="M29" s="139"/>
      <c r="N29" s="139"/>
      <c r="O29" s="139"/>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row>
    <row r="30" spans="1:66" s="130" customFormat="1" ht="18" x14ac:dyDescent="0.2">
      <c r="A30" s="122" t="str">
        <f>IF(ISERROR(VALUE(SUBSTITUTE(prevWBS,".",""))),"1",IF(ISERROR(FIND("`",SUBSTITUTE(prevWBS,".","`",1))),TEXT(VALUE(prevWBS)+1,"#"),TEXT(VALUE(LEFT(prevWBS,FIND("`",SUBSTITUTE(prevWBS,".","`",1))-1))+1,"#")))</f>
        <v>3</v>
      </c>
      <c r="B30" s="123" t="s">
        <v>33</v>
      </c>
      <c r="C30" s="123" t="s">
        <v>34</v>
      </c>
      <c r="D30" s="137" t="s">
        <v>15</v>
      </c>
      <c r="E30" s="124"/>
      <c r="F30" s="124"/>
      <c r="G30" s="125"/>
      <c r="H30" s="124"/>
      <c r="I30" s="134"/>
      <c r="J30" s="128"/>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row>
    <row r="31" spans="1:66" s="31" customFormat="1" ht="18" x14ac:dyDescent="0.2">
      <c r="A31" s="106" t="str">
        <f t="shared" ref="A31:A39"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31" s="116"/>
      <c r="C31" s="108"/>
      <c r="D31" s="121"/>
      <c r="E31" s="110">
        <v>44882</v>
      </c>
      <c r="F31" s="111">
        <f t="shared" si="4"/>
        <v>44882</v>
      </c>
      <c r="G31" s="112">
        <v>1</v>
      </c>
      <c r="H31" s="113">
        <f t="shared" si="5"/>
        <v>0</v>
      </c>
      <c r="I31" s="114">
        <v>0</v>
      </c>
      <c r="K31" s="100"/>
      <c r="L31" s="30"/>
      <c r="M31" s="138"/>
      <c r="N31" s="138"/>
      <c r="O31" s="138"/>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row>
    <row r="32" spans="1:66" s="31" customFormat="1" ht="18" x14ac:dyDescent="0.2">
      <c r="A32" s="106" t="str">
        <f t="shared" si="8"/>
        <v>3.2</v>
      </c>
      <c r="B32" s="116" t="s">
        <v>35</v>
      </c>
      <c r="C32" s="108"/>
      <c r="D32" s="121"/>
      <c r="E32" s="110">
        <v>45978</v>
      </c>
      <c r="F32" s="111">
        <f t="shared" si="4"/>
        <v>45999</v>
      </c>
      <c r="G32" s="112">
        <v>22</v>
      </c>
      <c r="H32" s="113">
        <f t="shared" si="5"/>
        <v>9.0909090909090912E-2</v>
      </c>
      <c r="I32" s="114">
        <v>2</v>
      </c>
      <c r="J32" s="10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row>
    <row r="33" spans="1:66" s="31" customFormat="1" ht="18" x14ac:dyDescent="0.2">
      <c r="A33" s="106" t="str">
        <f t="shared" si="8"/>
        <v>3.3</v>
      </c>
      <c r="B33" s="116" t="s">
        <v>36</v>
      </c>
      <c r="C33" s="108"/>
      <c r="D33" s="121"/>
      <c r="E33" s="110">
        <v>46006</v>
      </c>
      <c r="F33" s="111">
        <f t="shared" si="4"/>
        <v>46027</v>
      </c>
      <c r="G33" s="112">
        <v>22</v>
      </c>
      <c r="H33" s="113">
        <f t="shared" si="5"/>
        <v>0</v>
      </c>
      <c r="I33" s="114">
        <v>0</v>
      </c>
      <c r="J33" s="10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row>
    <row r="34" spans="1:66" s="31" customFormat="1" ht="18" x14ac:dyDescent="0.2">
      <c r="A34" s="106" t="str">
        <f t="shared" si="8"/>
        <v>3.4</v>
      </c>
      <c r="B34" s="116" t="s">
        <v>37</v>
      </c>
      <c r="C34" s="108"/>
      <c r="D34" s="109"/>
      <c r="E34" s="110">
        <v>46006</v>
      </c>
      <c r="F34" s="111">
        <f t="shared" si="4"/>
        <v>46027</v>
      </c>
      <c r="G34" s="112">
        <v>22</v>
      </c>
      <c r="H34" s="113">
        <f t="shared" si="5"/>
        <v>4.5454545454545451E-8</v>
      </c>
      <c r="I34" s="114">
        <v>9.9999999999999995E-7</v>
      </c>
      <c r="J34" s="5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row>
    <row r="35" spans="1:66" s="31" customFormat="1" ht="18" x14ac:dyDescent="0.2">
      <c r="A35" s="106" t="str">
        <f t="shared" si="8"/>
        <v>3.5</v>
      </c>
      <c r="B35" s="116" t="s">
        <v>38</v>
      </c>
      <c r="C35" s="108"/>
      <c r="D35" s="109"/>
      <c r="E35" s="110">
        <v>46027</v>
      </c>
      <c r="F35" s="111">
        <f t="shared" si="4"/>
        <v>46040</v>
      </c>
      <c r="G35" s="112">
        <v>14</v>
      </c>
      <c r="H35" s="113">
        <f t="shared" si="5"/>
        <v>7.1428571428571423E-8</v>
      </c>
      <c r="I35" s="114">
        <v>9.9999999999999995E-7</v>
      </c>
      <c r="J35" s="5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row>
    <row r="36" spans="1:66" s="31" customFormat="1" ht="18" x14ac:dyDescent="0.2">
      <c r="A36" s="106" t="str">
        <f t="shared" si="8"/>
        <v>3.6</v>
      </c>
      <c r="B36" s="116" t="s">
        <v>39</v>
      </c>
      <c r="C36" s="108"/>
      <c r="D36" s="109"/>
      <c r="E36" s="110">
        <v>46040</v>
      </c>
      <c r="F36" s="111">
        <f t="shared" si="4"/>
        <v>46053</v>
      </c>
      <c r="G36" s="112">
        <v>14</v>
      </c>
      <c r="H36" s="113"/>
      <c r="I36" s="114"/>
      <c r="J36" s="5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row>
    <row r="37" spans="1:66" s="31" customFormat="1" ht="18" x14ac:dyDescent="0.2">
      <c r="A37" s="106" t="str">
        <f t="shared" si="8"/>
        <v>3.7</v>
      </c>
      <c r="B37" s="116" t="s">
        <v>186</v>
      </c>
      <c r="C37" s="108"/>
      <c r="D37" s="109"/>
      <c r="E37" s="110">
        <v>46053</v>
      </c>
      <c r="F37" s="111">
        <f t="shared" si="4"/>
        <v>46066</v>
      </c>
      <c r="G37" s="112">
        <v>14</v>
      </c>
      <c r="H37" s="113">
        <f t="shared" si="5"/>
        <v>7.1428571428571423E-8</v>
      </c>
      <c r="I37" s="114">
        <v>9.9999999999999995E-7</v>
      </c>
      <c r="J37" s="5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row>
    <row r="38" spans="1:66" s="31" customFormat="1" ht="18" x14ac:dyDescent="0.2">
      <c r="A38" s="106" t="str">
        <f t="shared" si="8"/>
        <v>3.8</v>
      </c>
      <c r="B38" s="116" t="s">
        <v>185</v>
      </c>
      <c r="C38" s="108"/>
      <c r="D38" s="109"/>
      <c r="E38" s="110">
        <v>46066</v>
      </c>
      <c r="F38" s="111">
        <f t="shared" si="4"/>
        <v>46079</v>
      </c>
      <c r="G38" s="112">
        <v>14</v>
      </c>
      <c r="H38" s="113">
        <f t="shared" si="5"/>
        <v>7.1428571428571423E-8</v>
      </c>
      <c r="I38" s="114">
        <v>9.9999999999999995E-7</v>
      </c>
      <c r="J38" s="5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row>
    <row r="39" spans="1:66" s="31" customFormat="1" ht="18" x14ac:dyDescent="0.2">
      <c r="A39" s="106" t="str">
        <f t="shared" si="8"/>
        <v>3.9</v>
      </c>
      <c r="B39" s="116" t="s">
        <v>184</v>
      </c>
      <c r="C39" s="108"/>
      <c r="D39" s="109"/>
      <c r="E39" s="110">
        <v>46079</v>
      </c>
      <c r="F39" s="111">
        <f t="shared" si="4"/>
        <v>46092</v>
      </c>
      <c r="G39" s="112">
        <v>14</v>
      </c>
      <c r="H39" s="113">
        <f t="shared" si="5"/>
        <v>7.1428571428571423E-8</v>
      </c>
      <c r="I39" s="114">
        <v>9.9999999999999995E-7</v>
      </c>
      <c r="J39" s="5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row>
    <row r="40" spans="1:66" s="130" customFormat="1" ht="18" x14ac:dyDescent="0.2">
      <c r="A40" s="122" t="str">
        <f>IF(ISERROR(VALUE(SUBSTITUTE(prevWBS,".",""))),"1",IF(ISERROR(FIND("`",SUBSTITUTE(prevWBS,".","`",1))),TEXT(VALUE(prevWBS)+1,"#"),TEXT(VALUE(LEFT(prevWBS,FIND("`",SUBSTITUTE(prevWBS,".","`",1))-1))+1,"#")))</f>
        <v>4</v>
      </c>
      <c r="B40" s="123" t="s">
        <v>40</v>
      </c>
      <c r="C40" s="123" t="s">
        <v>41</v>
      </c>
      <c r="D40" s="137" t="s">
        <v>15</v>
      </c>
      <c r="E40" s="124"/>
      <c r="F40" s="124"/>
      <c r="G40" s="125"/>
      <c r="H40" s="124"/>
      <c r="I40" s="134"/>
      <c r="J40" s="128"/>
      <c r="K40" s="129"/>
      <c r="L40" s="129"/>
      <c r="M40" s="129"/>
      <c r="N40" s="129"/>
      <c r="O40" s="129"/>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row>
    <row r="41" spans="1:66" s="31" customFormat="1" ht="18" x14ac:dyDescent="0.2">
      <c r="A41" s="106" t="str">
        <f t="shared" ref="A41:A44"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41" s="116" t="s">
        <v>42</v>
      </c>
      <c r="C41" s="108"/>
      <c r="D41" s="109"/>
      <c r="E41" s="110">
        <v>45978</v>
      </c>
      <c r="F41" s="111">
        <f t="shared" si="4"/>
        <v>46007</v>
      </c>
      <c r="G41" s="112">
        <v>30</v>
      </c>
      <c r="H41" s="113">
        <f t="shared" si="5"/>
        <v>3.3333333333333334E-8</v>
      </c>
      <c r="I41" s="114">
        <v>9.9999999999999995E-7</v>
      </c>
      <c r="J41" s="5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row>
    <row r="42" spans="1:66" s="31" customFormat="1" ht="18" x14ac:dyDescent="0.2">
      <c r="A42" s="106" t="str">
        <f t="shared" si="9"/>
        <v>4.2</v>
      </c>
      <c r="B42" s="116" t="s">
        <v>181</v>
      </c>
      <c r="C42" s="108"/>
      <c r="D42" s="109"/>
      <c r="E42" s="110">
        <v>46053</v>
      </c>
      <c r="F42" s="111">
        <f t="shared" si="4"/>
        <v>46066</v>
      </c>
      <c r="G42" s="112">
        <v>14</v>
      </c>
      <c r="H42" s="113">
        <f t="shared" si="5"/>
        <v>7.1428571428571423E-8</v>
      </c>
      <c r="I42" s="114">
        <v>9.9999999999999995E-7</v>
      </c>
      <c r="J42" s="5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row>
    <row r="43" spans="1:66" s="31" customFormat="1" ht="18" x14ac:dyDescent="0.2">
      <c r="A43" s="106" t="str">
        <f t="shared" si="9"/>
        <v>4.3</v>
      </c>
      <c r="B43" s="116" t="s">
        <v>43</v>
      </c>
      <c r="C43" s="108"/>
      <c r="D43" s="109"/>
      <c r="E43" s="110">
        <v>46066</v>
      </c>
      <c r="F43" s="111">
        <f t="shared" si="4"/>
        <v>46079</v>
      </c>
      <c r="G43" s="112">
        <v>14</v>
      </c>
      <c r="H43" s="113">
        <f t="shared" si="5"/>
        <v>7.1428571428571423E-8</v>
      </c>
      <c r="I43" s="114">
        <v>9.9999999999999995E-7</v>
      </c>
      <c r="J43" s="5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row>
    <row r="44" spans="1:66" s="31" customFormat="1" ht="18" x14ac:dyDescent="0.2">
      <c r="A44" s="106" t="str">
        <f t="shared" si="9"/>
        <v>4.4</v>
      </c>
      <c r="B44" s="116" t="s">
        <v>180</v>
      </c>
      <c r="C44" s="108"/>
      <c r="D44" s="109"/>
      <c r="E44" s="110">
        <v>46079</v>
      </c>
      <c r="F44" s="111">
        <f t="shared" si="4"/>
        <v>46092</v>
      </c>
      <c r="G44" s="112">
        <v>14</v>
      </c>
      <c r="H44" s="113">
        <f t="shared" si="5"/>
        <v>7.1428571428571423E-8</v>
      </c>
      <c r="I44" s="114">
        <v>9.9999999999999995E-7</v>
      </c>
      <c r="J44" s="5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row>
    <row r="45" spans="1:66" s="136" customFormat="1" ht="18" x14ac:dyDescent="0.2">
      <c r="A45" s="122" t="str">
        <f>IF(ISERROR(VALUE(SUBSTITUTE(prevWBS,".",""))),"1",IF(ISERROR(FIND("`",SUBSTITUTE(prevWBS,".","`",1))),TEXT(VALUE(prevWBS)+1,"#"),TEXT(VALUE(LEFT(prevWBS,FIND("`",SUBSTITUTE(prevWBS,".","`",1))-1))+1,"#")))</f>
        <v>5</v>
      </c>
      <c r="B45" s="123" t="s">
        <v>44</v>
      </c>
      <c r="C45" s="123" t="s">
        <v>34</v>
      </c>
      <c r="D45" s="137" t="s">
        <v>41</v>
      </c>
      <c r="E45" s="124"/>
      <c r="F45" s="124"/>
      <c r="G45" s="134"/>
      <c r="H45" s="124"/>
      <c r="I45" s="134"/>
      <c r="J45" s="135"/>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row>
    <row r="46" spans="1:66" s="35" customFormat="1" ht="18" x14ac:dyDescent="0.2">
      <c r="A46"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46" s="116" t="s">
        <v>45</v>
      </c>
      <c r="C46" s="108"/>
      <c r="D46" s="109"/>
      <c r="E46" s="110">
        <v>45989</v>
      </c>
      <c r="F46" s="111">
        <f>IF(ISBLANK(E46)," - ",IF(G46=0,E46,E46+G46-1))</f>
        <v>46078</v>
      </c>
      <c r="G46" s="112">
        <v>90</v>
      </c>
      <c r="H46" s="113">
        <f t="shared" si="5"/>
        <v>1.1111111111111112E-2</v>
      </c>
      <c r="I46" s="114">
        <v>1</v>
      </c>
      <c r="J46" s="98"/>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row>
    <row r="47" spans="1:66" s="35" customFormat="1" ht="18" x14ac:dyDescent="0.2">
      <c r="A47"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47" s="116" t="s">
        <v>187</v>
      </c>
      <c r="C47" s="108"/>
      <c r="D47" s="109"/>
      <c r="E47" s="110">
        <v>46079</v>
      </c>
      <c r="F47" s="111">
        <f>IF(ISBLANK(E47)," - ",IF(G47=0,E47,E47+G47-1))</f>
        <v>46092</v>
      </c>
      <c r="G47" s="112">
        <v>14</v>
      </c>
      <c r="H47" s="113">
        <f t="shared" si="5"/>
        <v>7.1428571428571423E-8</v>
      </c>
      <c r="I47" s="114">
        <v>9.9999999999999995E-7</v>
      </c>
      <c r="J47" s="98"/>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row>
    <row r="48" spans="1:66" s="35" customFormat="1" ht="18" x14ac:dyDescent="0.2">
      <c r="A48"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48" s="116" t="s">
        <v>188</v>
      </c>
      <c r="C48" s="108"/>
      <c r="D48" s="109"/>
      <c r="E48" s="110">
        <v>46092</v>
      </c>
      <c r="F48" s="111">
        <f>IF(ISBLANK(E48)," - ",IF(G48=0,E48,E48+G48-1))</f>
        <v>46105</v>
      </c>
      <c r="G48" s="112">
        <v>14</v>
      </c>
      <c r="H48" s="113">
        <f t="shared" si="5"/>
        <v>7.1428571428571423E-8</v>
      </c>
      <c r="I48" s="114">
        <v>9.9999999999999995E-7</v>
      </c>
      <c r="J48" s="98"/>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row>
    <row r="49" spans="1:66" s="136" customFormat="1" ht="18" x14ac:dyDescent="0.2">
      <c r="A49" s="122" t="str">
        <f>IF(ISERROR(VALUE(SUBSTITUTE(prevWBS,".",""))),"1",IF(ISERROR(FIND("`",SUBSTITUTE(prevWBS,".","`",1))),TEXT(VALUE(prevWBS)+1,"#"),TEXT(VALUE(LEFT(prevWBS,FIND("`",SUBSTITUTE(prevWBS,".","`",1))-1))+1,"#")))</f>
        <v>6</v>
      </c>
      <c r="B49" s="123" t="s">
        <v>46</v>
      </c>
      <c r="C49" s="123" t="s">
        <v>34</v>
      </c>
      <c r="D49" s="137" t="s">
        <v>41</v>
      </c>
      <c r="E49" s="124"/>
      <c r="F49" s="124"/>
      <c r="G49" s="134"/>
      <c r="H49" s="124"/>
      <c r="I49" s="134"/>
      <c r="J49" s="135"/>
      <c r="K49" s="129"/>
      <c r="L49" s="129"/>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row>
    <row r="50" spans="1:66" s="35" customFormat="1" ht="18" x14ac:dyDescent="0.2">
      <c r="A50"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v>
      </c>
      <c r="B50" s="116" t="s">
        <v>47</v>
      </c>
      <c r="C50" s="108"/>
      <c r="D50" s="109"/>
      <c r="E50" s="110">
        <v>46105</v>
      </c>
      <c r="F50" s="111">
        <f>IF(ISBLANK(E50)," - ",IF(G50=0,E50,E50+G50-1))</f>
        <v>46118</v>
      </c>
      <c r="G50" s="112">
        <v>14</v>
      </c>
      <c r="H50" s="113">
        <f>I50/G50</f>
        <v>7.1428571428571423E-8</v>
      </c>
      <c r="I50" s="114">
        <v>9.9999999999999995E-7</v>
      </c>
      <c r="J50" s="98"/>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row>
    <row r="51" spans="1:66" s="35" customFormat="1" ht="24" x14ac:dyDescent="0.2">
      <c r="A51"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6.1.1</v>
      </c>
      <c r="B51" s="140" t="s">
        <v>182</v>
      </c>
      <c r="C51" s="108"/>
      <c r="D51" s="109"/>
      <c r="E51" s="110">
        <v>46118</v>
      </c>
      <c r="F51" s="111">
        <f t="shared" ref="F51:F53" si="10">IF(ISBLANK(E51)," - ",IF(G51=0,E51,E51+G51-1))</f>
        <v>46131</v>
      </c>
      <c r="G51" s="112">
        <v>14</v>
      </c>
      <c r="H51" s="113">
        <f t="shared" ref="H51:H53" si="11">I51/G51</f>
        <v>7.1428571428571423E-8</v>
      </c>
      <c r="I51" s="114">
        <v>9.9999999999999995E-7</v>
      </c>
      <c r="J51" s="98"/>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row>
    <row r="52" spans="1:66" s="35" customFormat="1" ht="24" x14ac:dyDescent="0.2">
      <c r="A52"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6.1.2</v>
      </c>
      <c r="B52" s="119" t="s">
        <v>48</v>
      </c>
      <c r="C52" s="108"/>
      <c r="D52" s="108"/>
      <c r="E52" s="110">
        <v>46131</v>
      </c>
      <c r="F52" s="111">
        <f t="shared" si="10"/>
        <v>46144</v>
      </c>
      <c r="G52" s="112">
        <v>14</v>
      </c>
      <c r="H52" s="113">
        <f t="shared" si="11"/>
        <v>7.1428571428571423E-8</v>
      </c>
      <c r="I52" s="114">
        <v>9.9999999999999995E-7</v>
      </c>
      <c r="J52" s="98"/>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row>
    <row r="53" spans="1:66" s="35" customFormat="1" ht="18" x14ac:dyDescent="0.2">
      <c r="A53" s="10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6.1.3</v>
      </c>
      <c r="B53" s="119" t="s">
        <v>49</v>
      </c>
      <c r="C53" s="108"/>
      <c r="D53" s="108"/>
      <c r="E53" s="110">
        <v>46144</v>
      </c>
      <c r="F53" s="111">
        <f t="shared" si="10"/>
        <v>46157</v>
      </c>
      <c r="G53" s="112">
        <v>14</v>
      </c>
      <c r="H53" s="113">
        <f t="shared" si="11"/>
        <v>7.1428571428571423E-8</v>
      </c>
      <c r="I53" s="114">
        <v>9.9999999999999995E-7</v>
      </c>
      <c r="J53" s="98"/>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row>
    <row r="54" spans="1:66" s="136" customFormat="1" ht="18" x14ac:dyDescent="0.2">
      <c r="A54" s="122" t="str">
        <f>IF(ISERROR(VALUE(SUBSTITUTE(prevWBS,".",""))),"1",IF(ISERROR(FIND("`",SUBSTITUTE(prevWBS,".","`",1))),TEXT(VALUE(prevWBS)+1,"#"),TEXT(VALUE(LEFT(prevWBS,FIND("`",SUBSTITUTE(prevWBS,".","`",1))-1))+1,"#")))</f>
        <v>7</v>
      </c>
      <c r="B54" s="123" t="s">
        <v>50</v>
      </c>
      <c r="C54" s="123" t="s">
        <v>14</v>
      </c>
      <c r="D54" s="137" t="s">
        <v>15</v>
      </c>
      <c r="E54" s="124"/>
      <c r="F54" s="124"/>
      <c r="G54" s="134"/>
      <c r="H54" s="124"/>
      <c r="I54" s="134"/>
      <c r="J54" s="135"/>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row>
    <row r="55" spans="1:66" s="35" customFormat="1" ht="18" x14ac:dyDescent="0.2">
      <c r="A55"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55" s="116" t="s">
        <v>51</v>
      </c>
      <c r="C55" s="108"/>
      <c r="D55" s="109"/>
      <c r="E55" s="110">
        <v>46105</v>
      </c>
      <c r="F55" s="111">
        <f>IF(ISBLANK(E55)," - ",IF(G55=0,E55,E55+G55-1))</f>
        <v>46134</v>
      </c>
      <c r="G55" s="112">
        <v>30</v>
      </c>
      <c r="H55" s="113">
        <f>I55/G55</f>
        <v>3.3333333333333334E-8</v>
      </c>
      <c r="I55" s="114">
        <v>9.9999999999999995E-7</v>
      </c>
      <c r="J55" s="98"/>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row>
    <row r="56" spans="1:66" s="35" customFormat="1" ht="18" x14ac:dyDescent="0.2">
      <c r="A56"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56" s="116" t="s">
        <v>52</v>
      </c>
      <c r="C56" s="108"/>
      <c r="D56" s="109"/>
      <c r="E56" s="110">
        <v>46134</v>
      </c>
      <c r="F56" s="111">
        <f>IF(ISBLANK(E56)," - ",IF(G56=0,E56,E56+G56-1))</f>
        <v>46148</v>
      </c>
      <c r="G56" s="112">
        <v>15</v>
      </c>
      <c r="H56" s="113">
        <f>I56/G56</f>
        <v>6.6666666666666668E-8</v>
      </c>
      <c r="I56" s="114">
        <v>9.9999999999999995E-7</v>
      </c>
      <c r="J56" s="98"/>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row>
    <row r="57" spans="1:66" s="35" customFormat="1" ht="18" x14ac:dyDescent="0.2">
      <c r="A57" s="10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57" s="116" t="s">
        <v>53</v>
      </c>
      <c r="C57" s="108"/>
      <c r="D57" s="109"/>
      <c r="E57" s="110">
        <v>46105</v>
      </c>
      <c r="F57" s="111">
        <f>IF(ISBLANK(E57)," - ",IF(G57=0,E57,E57+G57-1))</f>
        <v>46149</v>
      </c>
      <c r="G57" s="112">
        <v>45</v>
      </c>
      <c r="H57" s="113">
        <f>I57/G57</f>
        <v>2.222222222222222E-8</v>
      </c>
      <c r="I57" s="114">
        <v>9.9999999999999995E-7</v>
      </c>
      <c r="J57" s="98"/>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row>
    <row r="58" spans="1:66" s="40" customFormat="1" ht="12" x14ac:dyDescent="0.2">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row>
    <row r="59" spans="1:66" s="35" customFormat="1" ht="18" x14ac:dyDescent="0.2">
      <c r="A59" s="36" t="s">
        <v>54</v>
      </c>
      <c r="B59" s="37"/>
      <c r="C59" s="38"/>
      <c r="D59" s="38"/>
      <c r="E59" s="54"/>
      <c r="F59" s="54"/>
      <c r="G59" s="39"/>
      <c r="H59" s="39"/>
      <c r="I59" s="39"/>
      <c r="J59" s="51"/>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row>
    <row r="60" spans="1:66" s="35" customFormat="1" ht="18" x14ac:dyDescent="0.2">
      <c r="A60" s="41" t="s">
        <v>55</v>
      </c>
      <c r="B60" s="42"/>
      <c r="C60" s="42"/>
      <c r="D60" s="42"/>
      <c r="E60" s="55"/>
      <c r="F60" s="55"/>
      <c r="G60" s="42"/>
      <c r="H60" s="42"/>
      <c r="I60" s="42"/>
      <c r="J60" s="51"/>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row>
    <row r="61" spans="1:66" s="35" customFormat="1" ht="18" x14ac:dyDescent="0.2">
      <c r="A61" s="64" t="str">
        <f>IF(ISERROR(VALUE(SUBSTITUTE(prevWBS,".",""))),"1",IF(ISERROR(FIND("`",SUBSTITUTE(prevWBS,".","`",1))),TEXT(VALUE(prevWBS)+1,"#"),TEXT(VALUE(LEFT(prevWBS,FIND("`",SUBSTITUTE(prevWBS,".","`",1))-1))+1,"#")))</f>
        <v>1</v>
      </c>
      <c r="B61" s="65" t="s">
        <v>56</v>
      </c>
      <c r="C61" s="43"/>
      <c r="D61" s="44"/>
      <c r="E61" s="52"/>
      <c r="F61" s="53" t="str">
        <f t="shared" ref="F61:F64" si="12">IF(ISBLANK(E61)," - ",IF(G61=0,E61,E61+G61-1))</f>
        <v xml:space="preserve"> - </v>
      </c>
      <c r="G61" s="32"/>
      <c r="H61" s="33"/>
      <c r="I61" s="34" t="str">
        <f>IF(OR(F61=0,E61=0)," - ",NETWORKDAYS(E61,F61))</f>
        <v xml:space="preserve"> - </v>
      </c>
      <c r="J61" s="5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row>
    <row r="62" spans="1:66" s="35" customFormat="1" ht="18" x14ac:dyDescent="0.2">
      <c r="A62" s="3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2" s="45" t="s">
        <v>57</v>
      </c>
      <c r="C62" s="45"/>
      <c r="D62" s="44"/>
      <c r="E62" s="52"/>
      <c r="F62" s="53" t="str">
        <f t="shared" si="12"/>
        <v xml:space="preserve"> - </v>
      </c>
      <c r="G62" s="32"/>
      <c r="H62" s="33"/>
      <c r="I62" s="34" t="str">
        <f t="shared" ref="I62:I64" si="13">IF(OR(F62=0,E62=0)," - ",NETWORKDAYS(E62,F62))</f>
        <v xml:space="preserve"> - </v>
      </c>
      <c r="J62" s="5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row>
    <row r="63" spans="1:66" s="35" customFormat="1" ht="18" x14ac:dyDescent="0.2">
      <c r="A63" s="3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63" s="46" t="s">
        <v>58</v>
      </c>
      <c r="C63" s="45"/>
      <c r="D63" s="44"/>
      <c r="E63" s="52"/>
      <c r="F63" s="53" t="str">
        <f t="shared" si="12"/>
        <v xml:space="preserve"> - </v>
      </c>
      <c r="G63" s="32"/>
      <c r="H63" s="33"/>
      <c r="I63" s="34" t="str">
        <f t="shared" si="13"/>
        <v xml:space="preserve"> - </v>
      </c>
      <c r="J63" s="5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row>
    <row r="64" spans="1:66" s="35" customFormat="1" ht="18" x14ac:dyDescent="0.2">
      <c r="A64" s="3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1.1.2</v>
      </c>
      <c r="B64" s="46" t="s">
        <v>58</v>
      </c>
      <c r="C64" s="45"/>
      <c r="D64" s="44"/>
      <c r="E64" s="52"/>
      <c r="F64" s="53" t="str">
        <f t="shared" si="12"/>
        <v xml:space="preserve"> - </v>
      </c>
      <c r="G64" s="32"/>
      <c r="H64" s="33"/>
      <c r="I64" s="34" t="str">
        <f t="shared" si="13"/>
        <v xml:space="preserve"> - </v>
      </c>
      <c r="J64" s="50"/>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c r="BL64" s="99"/>
      <c r="BM64" s="99"/>
      <c r="BN64" s="99"/>
    </row>
    <row r="65" spans="1:10" s="18" customFormat="1" ht="18" x14ac:dyDescent="0.2">
      <c r="A65" s="30"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1.1.2.1</v>
      </c>
      <c r="B65" s="46" t="s">
        <v>59</v>
      </c>
      <c r="C65" s="91"/>
      <c r="D65" s="92"/>
      <c r="E65" s="93"/>
      <c r="F65" s="94"/>
      <c r="G65" s="95"/>
      <c r="H65" s="96"/>
      <c r="I65" s="97"/>
      <c r="J65" s="98"/>
    </row>
    <row r="66" spans="1:10" x14ac:dyDescent="0.2">
      <c r="A66" s="90" t="str">
        <f>HYPERLINK("https://vertex42.link/HowToCreateAGanttChart","► Watch How to Create a Gantt Chart in Excel")</f>
        <v>► Watch How to Create a Gantt Chart in Excel</v>
      </c>
      <c r="C66" s="18"/>
      <c r="D66" s="18"/>
      <c r="E66" s="18"/>
      <c r="F66" s="18"/>
      <c r="G66" s="18"/>
      <c r="H66" s="18"/>
      <c r="I66" s="18"/>
      <c r="J66" s="18"/>
    </row>
    <row r="143" spans="35:35" x14ac:dyDescent="0.2">
      <c r="AI143" s="2" t="s">
        <v>60</v>
      </c>
    </row>
  </sheetData>
  <sheetProtection formatCells="0" formatColumns="0" formatRows="0" insertRows="0" deleteRows="0"/>
  <mergeCells count="19">
    <mergeCell ref="K1:AE1"/>
    <mergeCell ref="C2:E2"/>
    <mergeCell ref="R4:X4"/>
    <mergeCell ref="K4:Q4"/>
    <mergeCell ref="C1:E1"/>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41:H44 H46:H48 H31:H39 H55:H57 H59:H65 H50:H53 H19:H29 H8:H17">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21" priority="49">
      <formula>K$6=TODAY()</formula>
    </cfRule>
  </conditionalFormatting>
  <conditionalFormatting sqref="K6:BN64">
    <cfRule type="expression" dxfId="20" priority="12">
      <formula>K$6=TODAY()</formula>
    </cfRule>
  </conditionalFormatting>
  <conditionalFormatting sqref="K8:BN30 K34:BN49 K54:BN54">
    <cfRule type="expression" dxfId="19" priority="52">
      <formula>AND($E8&lt;=K$6,ROUNDDOWN(($F8-$E8+1)*$H8,0)+$E8-1&gt;=K$6)</formula>
    </cfRule>
    <cfRule type="expression" dxfId="18" priority="53">
      <formula>AND(NOT(ISBLANK($E8)),$E8&lt;=K$6,$F8&gt;=K$6)</formula>
    </cfRule>
  </conditionalFormatting>
  <conditionalFormatting sqref="K33:BN33">
    <cfRule type="expression" dxfId="17" priority="63">
      <formula>AND($E31&lt;=K$6,ROUNDDOWN(($F33-$E31+1)*$H33,0)+$E31-1&gt;=K$6)</formula>
    </cfRule>
    <cfRule type="expression" dxfId="16" priority="64">
      <formula>AND(NOT(ISBLANK($E31)),$E31&lt;=K$6,$F33&gt;=K$6)</formula>
    </cfRule>
  </conditionalFormatting>
  <conditionalFormatting sqref="K50:BN51">
    <cfRule type="expression" dxfId="15" priority="99">
      <formula>AND($E55&lt;=K$6,ROUNDDOWN(($F55-$E55+1)*$H55,0)+$E55-1&gt;=K$6)</formula>
    </cfRule>
    <cfRule type="expression" dxfId="14" priority="100">
      <formula>AND(NOT(ISBLANK($E55)),$E55&lt;=K$6,$F55&gt;=K$6)</formula>
    </cfRule>
  </conditionalFormatting>
  <conditionalFormatting sqref="K52:BN53">
    <cfRule type="expression" dxfId="13" priority="93">
      <formula>AND($E56&lt;=K$6,ROUNDDOWN(($F56-$E56+1)*$H56,0)+$E56-1&gt;=K$6)</formula>
    </cfRule>
    <cfRule type="expression" dxfId="12" priority="94">
      <formula>AND(NOT(ISBLANK($E56)),$E56&lt;=K$6,$F56&gt;=K$6)</formula>
    </cfRule>
  </conditionalFormatting>
  <conditionalFormatting sqref="K55:BN55">
    <cfRule type="expression" dxfId="11" priority="71">
      <formula>AND($E57&lt;=K$6,ROUNDDOWN(($F57-$E57+1)*$H57,0)+$E57-1&gt;=K$6)</formula>
    </cfRule>
    <cfRule type="expression" dxfId="10" priority="72">
      <formula>AND(NOT(ISBLANK($E57)),$E57&lt;=K$6,$F57&gt;=K$6)</formula>
    </cfRule>
  </conditionalFormatting>
  <conditionalFormatting sqref="K56:BN56">
    <cfRule type="expression" dxfId="9" priority="81">
      <formula>AND($E50&lt;=K$6,ROUNDDOWN(($F50-$E50+1)*$H50,0)+$E50-1&gt;=K$6)</formula>
    </cfRule>
    <cfRule type="expression" dxfId="8" priority="82">
      <formula>AND(NOT(ISBLANK($E50)),$E50&lt;=K$6,$F50&gt;=K$6)</formula>
    </cfRule>
  </conditionalFormatting>
  <conditionalFormatting sqref="K57:BN57">
    <cfRule type="expression" dxfId="7" priority="73">
      <formula>AND(#REF!&lt;=K$6,ROUNDDOWN((#REF!-#REF!+1)*#REF!,0)+#REF!-1&gt;=K$6)</formula>
    </cfRule>
    <cfRule type="expression" dxfId="6" priority="74">
      <formula>AND(NOT(ISBLANK(#REF!)),#REF!&lt;=K$6,#REF!&gt;=K$6)</formula>
    </cfRule>
  </conditionalFormatting>
  <conditionalFormatting sqref="K58:BN64">
    <cfRule type="expression" dxfId="5" priority="59">
      <formula>AND($E59&lt;=K$6,ROUNDDOWN(($F59-$E59+1)*$H59,0)+$E59-1&gt;=K$6)</formula>
    </cfRule>
    <cfRule type="expression" dxfId="4" priority="60">
      <formula>AND(NOT(ISBLANK($E59)),$E59&lt;=K$6,$F59&gt;=K$6)</formula>
    </cfRule>
  </conditionalFormatting>
  <conditionalFormatting sqref="L31:BH31 K32:BH32">
    <cfRule type="expression" dxfId="3" priority="3">
      <formula>AND($E30&lt;=K$6,ROUNDDOWN(($F31-$E30+1)*$H31,0)+$E30-1&gt;=K$6)</formula>
    </cfRule>
    <cfRule type="expression" dxfId="2" priority="4">
      <formula>AND(NOT(ISBLANK($E30)),$E30&lt;=K$6,$F31&gt;=K$6)</formula>
    </cfRule>
  </conditionalFormatting>
  <conditionalFormatting sqref="L31:BN31 K32:BN32">
    <cfRule type="expression" dxfId="1" priority="65">
      <formula>AND(#REF!&lt;=K$6,ROUNDDOWN(($F31-#REF!+1)*$H31,0)+#REF!-1&gt;=K$6)</formula>
    </cfRule>
    <cfRule type="expression" dxfId="0" priority="66">
      <formula>AND(NOT(ISBLANK(#REF!)),#REF!&lt;=K$6,$F31&gt;=K$6)</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hyperlinks>
    <hyperlink ref="K1:AE1" r:id="rId1" display="Gantt Chart Template © 2006-2018 by Vertex42.com." xr:uid="{00000000-0004-0000-0000-000000000000}"/>
  </hyperlinks>
  <pageMargins left="0.25" right="0.25" top="0.5" bottom="0.5" header="0.5" footer="0.25"/>
  <pageSetup scale="50" fitToHeight="0" orientation="landscape" r:id="rId2"/>
  <headerFooter alignWithMargins="0"/>
  <ignoredErrors>
    <ignoredError sqref="A60:B60 B59 E18 E30 E40 G18 G30 G40" unlockedFormula="1"/>
    <ignoredError sqref="A30 A18"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10</xdr:col>
                    <xdr:colOff>152400</xdr:colOff>
                    <xdr:row>1</xdr:row>
                    <xdr:rowOff>85725</xdr:rowOff>
                  </from>
                  <to>
                    <xdr:col>28</xdr:col>
                    <xdr:colOff>114300</xdr:colOff>
                    <xdr:row>2</xdr:row>
                    <xdr:rowOff>76200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H41:H44 H46:H48 H31:H39 H55:H57 H59:H65 H50:H53 H19:H29 H8:H17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6"/>
  <sheetViews>
    <sheetView showGridLines="0" workbookViewId="0">
      <selection activeCell="M25" sqref="M25"/>
    </sheetView>
  </sheetViews>
  <sheetFormatPr defaultRowHeight="12.75" x14ac:dyDescent="0.2"/>
  <cols>
    <col min="1" max="1" width="5.5703125" customWidth="1"/>
    <col min="2" max="2" width="37.7109375" customWidth="1"/>
    <col min="3" max="3" width="55.140625" customWidth="1"/>
  </cols>
  <sheetData>
    <row r="1" spans="1:3" ht="30" customHeight="1" x14ac:dyDescent="0.2">
      <c r="A1" s="19" t="s">
        <v>61</v>
      </c>
    </row>
    <row r="4" spans="1:3" x14ac:dyDescent="0.2">
      <c r="C4" s="4" t="s">
        <v>62</v>
      </c>
    </row>
    <row r="5" spans="1:3" x14ac:dyDescent="0.2">
      <c r="C5" s="2" t="s">
        <v>63</v>
      </c>
    </row>
    <row r="6" spans="1:3" x14ac:dyDescent="0.2">
      <c r="C6" s="2"/>
    </row>
    <row r="7" spans="1:3" ht="18" x14ac:dyDescent="0.25">
      <c r="C7" s="12" t="s">
        <v>64</v>
      </c>
    </row>
    <row r="8" spans="1:3" x14ac:dyDescent="0.2">
      <c r="C8" s="13" t="s">
        <v>65</v>
      </c>
    </row>
    <row r="10" spans="1:3" x14ac:dyDescent="0.2">
      <c r="C10" s="2" t="s">
        <v>66</v>
      </c>
    </row>
    <row r="11" spans="1:3" x14ac:dyDescent="0.2">
      <c r="C11" s="2" t="s">
        <v>67</v>
      </c>
    </row>
    <row r="13" spans="1:3" ht="18" x14ac:dyDescent="0.25">
      <c r="C13" s="12" t="s">
        <v>68</v>
      </c>
    </row>
    <row r="16" spans="1:3" ht="15.75" x14ac:dyDescent="0.25">
      <c r="A16" s="15" t="s">
        <v>69</v>
      </c>
    </row>
    <row r="18" spans="2:2" ht="15" x14ac:dyDescent="0.25">
      <c r="B18" s="14" t="s">
        <v>70</v>
      </c>
    </row>
    <row r="19" spans="2:2" x14ac:dyDescent="0.2">
      <c r="B19" s="2" t="s">
        <v>71</v>
      </c>
    </row>
    <row r="20" spans="2:2" x14ac:dyDescent="0.2">
      <c r="B20" s="2" t="s">
        <v>72</v>
      </c>
    </row>
    <row r="22" spans="2:2" ht="15" x14ac:dyDescent="0.25">
      <c r="B22" s="14" t="s">
        <v>73</v>
      </c>
    </row>
    <row r="23" spans="2:2" x14ac:dyDescent="0.2">
      <c r="B23" s="2" t="s">
        <v>74</v>
      </c>
    </row>
    <row r="24" spans="2:2" x14ac:dyDescent="0.2">
      <c r="B24" s="2" t="s">
        <v>75</v>
      </c>
    </row>
    <row r="26" spans="2:2" ht="15" x14ac:dyDescent="0.25">
      <c r="B26" s="14" t="s">
        <v>76</v>
      </c>
    </row>
    <row r="27" spans="2:2" x14ac:dyDescent="0.2">
      <c r="B27" s="2" t="s">
        <v>77</v>
      </c>
    </row>
    <row r="28" spans="2:2" x14ac:dyDescent="0.2">
      <c r="B28" s="2" t="s">
        <v>78</v>
      </c>
    </row>
    <row r="29" spans="2:2" x14ac:dyDescent="0.2">
      <c r="B29" s="2" t="s">
        <v>79</v>
      </c>
    </row>
    <row r="30" spans="2:2" x14ac:dyDescent="0.2">
      <c r="B30" t="s">
        <v>80</v>
      </c>
    </row>
    <row r="31" spans="2:2" x14ac:dyDescent="0.2">
      <c r="B31" t="s">
        <v>81</v>
      </c>
    </row>
    <row r="32" spans="2:2" x14ac:dyDescent="0.2">
      <c r="B32" t="s">
        <v>82</v>
      </c>
    </row>
    <row r="34" spans="2:2" ht="15" x14ac:dyDescent="0.25">
      <c r="B34" s="14" t="s">
        <v>83</v>
      </c>
    </row>
    <row r="35" spans="2:2" x14ac:dyDescent="0.2">
      <c r="B35" s="2" t="s">
        <v>84</v>
      </c>
    </row>
    <row r="36" spans="2:2" x14ac:dyDescent="0.2">
      <c r="B36" s="2" t="s">
        <v>85</v>
      </c>
    </row>
    <row r="37" spans="2:2" x14ac:dyDescent="0.2">
      <c r="B37" s="2" t="s">
        <v>86</v>
      </c>
    </row>
    <row r="39" spans="2:2" ht="15" x14ac:dyDescent="0.25">
      <c r="B39" s="14" t="s">
        <v>87</v>
      </c>
    </row>
    <row r="40" spans="2:2" x14ac:dyDescent="0.2">
      <c r="B40" s="2" t="s">
        <v>88</v>
      </c>
    </row>
    <row r="42" spans="2:2" ht="15" x14ac:dyDescent="0.25">
      <c r="B42" s="14" t="s">
        <v>89</v>
      </c>
    </row>
    <row r="43" spans="2:2" x14ac:dyDescent="0.2">
      <c r="B43" s="2" t="s">
        <v>90</v>
      </c>
    </row>
    <row r="44" spans="2:2" x14ac:dyDescent="0.2">
      <c r="B44" s="2" t="s">
        <v>91</v>
      </c>
    </row>
    <row r="46" spans="2:2" ht="18" x14ac:dyDescent="0.25">
      <c r="B46" s="12" t="s">
        <v>92</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election activeCell="A3" sqref="A3"/>
    </sheetView>
  </sheetViews>
  <sheetFormatPr defaultColWidth="8.85546875" defaultRowHeight="12.75" x14ac:dyDescent="0.2"/>
  <cols>
    <col min="1" max="1" width="5.5703125" style="2" customWidth="1"/>
    <col min="2" max="2" width="90.42578125" style="2" customWidth="1"/>
    <col min="3" max="3" width="16.42578125" style="2" bestFit="1" customWidth="1"/>
    <col min="4" max="16384" width="8.85546875" style="2"/>
  </cols>
  <sheetData>
    <row r="1" spans="1:3" ht="30" customHeight="1" x14ac:dyDescent="0.2">
      <c r="A1" s="23" t="s">
        <v>93</v>
      </c>
      <c r="B1" s="24"/>
    </row>
    <row r="2" spans="1:3" ht="14.25" x14ac:dyDescent="0.2">
      <c r="A2" s="71" t="s">
        <v>65</v>
      </c>
      <c r="B2" s="3"/>
    </row>
    <row r="3" spans="1:3" x14ac:dyDescent="0.2">
      <c r="B3" s="3"/>
    </row>
    <row r="4" spans="1:3" ht="18" x14ac:dyDescent="0.25">
      <c r="A4" s="66" t="s">
        <v>94</v>
      </c>
      <c r="B4" s="15"/>
    </row>
    <row r="5" spans="1:3" ht="57" x14ac:dyDescent="0.2">
      <c r="B5" s="72" t="s">
        <v>95</v>
      </c>
    </row>
    <row r="7" spans="1:3" ht="28.5" x14ac:dyDescent="0.2">
      <c r="B7" s="72" t="s">
        <v>96</v>
      </c>
    </row>
    <row r="9" spans="1:3" ht="14.25" x14ac:dyDescent="0.2">
      <c r="B9" s="71" t="s">
        <v>97</v>
      </c>
    </row>
    <row r="11" spans="1:3" ht="28.5" x14ac:dyDescent="0.2">
      <c r="B11" s="70" t="s">
        <v>98</v>
      </c>
    </row>
    <row r="13" spans="1:3" ht="18" x14ac:dyDescent="0.25">
      <c r="A13" s="152" t="s">
        <v>99</v>
      </c>
      <c r="B13" s="152"/>
    </row>
    <row r="15" spans="1:3" s="67" customFormat="1" ht="18" x14ac:dyDescent="0.2">
      <c r="A15" s="74"/>
      <c r="B15" s="73" t="s">
        <v>100</v>
      </c>
    </row>
    <row r="16" spans="1:3" s="67" customFormat="1" ht="18" x14ac:dyDescent="0.2">
      <c r="A16" s="74"/>
      <c r="B16" s="73" t="s">
        <v>101</v>
      </c>
      <c r="C16" s="69" t="s">
        <v>102</v>
      </c>
    </row>
    <row r="17" spans="1:3" ht="18" x14ac:dyDescent="0.25">
      <c r="A17" s="75"/>
      <c r="B17" s="73" t="s">
        <v>103</v>
      </c>
    </row>
    <row r="18" spans="1:3" ht="18" x14ac:dyDescent="0.25">
      <c r="A18" s="75"/>
      <c r="B18" s="73" t="s">
        <v>104</v>
      </c>
    </row>
    <row r="19" spans="1:3" ht="18" x14ac:dyDescent="0.25">
      <c r="A19" s="75"/>
      <c r="B19" s="73" t="s">
        <v>105</v>
      </c>
    </row>
    <row r="20" spans="1:3" s="67" customFormat="1" ht="18" x14ac:dyDescent="0.2">
      <c r="A20" s="74"/>
      <c r="B20" s="73" t="s">
        <v>106</v>
      </c>
      <c r="C20" s="68" t="s">
        <v>107</v>
      </c>
    </row>
    <row r="21" spans="1:3" ht="18" x14ac:dyDescent="0.25">
      <c r="A21" s="75"/>
      <c r="B21" s="73" t="s">
        <v>108</v>
      </c>
    </row>
    <row r="22" spans="1:3" ht="18" x14ac:dyDescent="0.25">
      <c r="A22" s="75"/>
      <c r="B22" s="76" t="s">
        <v>109</v>
      </c>
    </row>
    <row r="23" spans="1:3" ht="18" x14ac:dyDescent="0.25">
      <c r="A23" s="75"/>
      <c r="B23" s="4"/>
    </row>
    <row r="24" spans="1:3" ht="18" x14ac:dyDescent="0.25">
      <c r="A24" s="152" t="s">
        <v>110</v>
      </c>
      <c r="B24" s="152"/>
    </row>
    <row r="25" spans="1:3" ht="43.5" x14ac:dyDescent="0.25">
      <c r="A25" s="75"/>
      <c r="B25" s="73" t="s">
        <v>111</v>
      </c>
    </row>
    <row r="26" spans="1:3" ht="18" x14ac:dyDescent="0.25">
      <c r="A26" s="75"/>
      <c r="B26" s="73"/>
    </row>
    <row r="27" spans="1:3" ht="18" x14ac:dyDescent="0.25">
      <c r="A27" s="75"/>
      <c r="B27" s="89" t="s">
        <v>112</v>
      </c>
    </row>
    <row r="28" spans="1:3" ht="18" x14ac:dyDescent="0.25">
      <c r="A28" s="75"/>
      <c r="B28" s="73" t="s">
        <v>113</v>
      </c>
    </row>
    <row r="29" spans="1:3" ht="28.5" x14ac:dyDescent="0.25">
      <c r="A29" s="75"/>
      <c r="B29" s="73" t="s">
        <v>114</v>
      </c>
    </row>
    <row r="30" spans="1:3" ht="18" x14ac:dyDescent="0.25">
      <c r="A30" s="75"/>
      <c r="B30" s="73"/>
    </row>
    <row r="31" spans="1:3" ht="18" x14ac:dyDescent="0.25">
      <c r="A31" s="75"/>
      <c r="B31" s="89" t="s">
        <v>115</v>
      </c>
    </row>
    <row r="32" spans="1:3" ht="18" x14ac:dyDescent="0.25">
      <c r="A32" s="75"/>
      <c r="B32" s="73" t="s">
        <v>116</v>
      </c>
    </row>
    <row r="33" spans="1:2" ht="18" x14ac:dyDescent="0.25">
      <c r="A33" s="75"/>
      <c r="B33" s="73" t="s">
        <v>117</v>
      </c>
    </row>
    <row r="34" spans="1:2" ht="18" x14ac:dyDescent="0.25">
      <c r="A34" s="75"/>
      <c r="B34" s="4"/>
    </row>
    <row r="35" spans="1:2" ht="28.5" x14ac:dyDescent="0.25">
      <c r="A35" s="75"/>
      <c r="B35" s="73" t="s">
        <v>118</v>
      </c>
    </row>
    <row r="36" spans="1:2" ht="18" x14ac:dyDescent="0.25">
      <c r="A36" s="75"/>
      <c r="B36" s="77" t="s">
        <v>119</v>
      </c>
    </row>
    <row r="37" spans="1:2" ht="18" x14ac:dyDescent="0.25">
      <c r="A37" s="75"/>
      <c r="B37" s="4"/>
    </row>
    <row r="38" spans="1:2" ht="18" x14ac:dyDescent="0.25">
      <c r="A38" s="152" t="s">
        <v>120</v>
      </c>
      <c r="B38" s="152"/>
    </row>
    <row r="39" spans="1:2" ht="28.5" x14ac:dyDescent="0.2">
      <c r="B39" s="73" t="s">
        <v>121</v>
      </c>
    </row>
    <row r="41" spans="1:2" ht="14.25" x14ac:dyDescent="0.2">
      <c r="B41" s="73" t="s">
        <v>122</v>
      </c>
    </row>
    <row r="43" spans="1:2" ht="28.5" x14ac:dyDescent="0.2">
      <c r="B43" s="73" t="s">
        <v>123</v>
      </c>
    </row>
    <row r="45" spans="1:2" ht="28.5" x14ac:dyDescent="0.2">
      <c r="B45" s="73" t="s">
        <v>124</v>
      </c>
    </row>
    <row r="46" spans="1:2" x14ac:dyDescent="0.2">
      <c r="B46" s="11"/>
    </row>
    <row r="47" spans="1:2" ht="28.5" x14ac:dyDescent="0.2">
      <c r="B47" s="73" t="s">
        <v>125</v>
      </c>
    </row>
    <row r="49" spans="1:2" ht="18" x14ac:dyDescent="0.25">
      <c r="A49" s="152" t="s">
        <v>126</v>
      </c>
      <c r="B49" s="152"/>
    </row>
    <row r="50" spans="1:2" ht="28.5" x14ac:dyDescent="0.2">
      <c r="B50" s="73" t="s">
        <v>127</v>
      </c>
    </row>
    <row r="52" spans="1:2" ht="14.25" x14ac:dyDescent="0.2">
      <c r="A52" s="78" t="s">
        <v>128</v>
      </c>
      <c r="B52" s="73" t="s">
        <v>129</v>
      </c>
    </row>
    <row r="53" spans="1:2" ht="14.25" x14ac:dyDescent="0.2">
      <c r="A53" s="78" t="s">
        <v>130</v>
      </c>
      <c r="B53" s="73" t="s">
        <v>131</v>
      </c>
    </row>
    <row r="54" spans="1:2" ht="14.25" x14ac:dyDescent="0.2">
      <c r="A54" s="78" t="s">
        <v>132</v>
      </c>
      <c r="B54" s="73" t="s">
        <v>133</v>
      </c>
    </row>
    <row r="55" spans="1:2" ht="28.5" x14ac:dyDescent="0.2">
      <c r="A55" s="70"/>
      <c r="B55" s="73" t="s">
        <v>134</v>
      </c>
    </row>
    <row r="56" spans="1:2" ht="28.5" x14ac:dyDescent="0.2">
      <c r="A56" s="70"/>
      <c r="B56" s="73" t="s">
        <v>135</v>
      </c>
    </row>
    <row r="57" spans="1:2" ht="14.25" x14ac:dyDescent="0.2">
      <c r="A57" s="78" t="s">
        <v>136</v>
      </c>
      <c r="B57" s="73" t="s">
        <v>137</v>
      </c>
    </row>
    <row r="58" spans="1:2" ht="14.25" x14ac:dyDescent="0.2">
      <c r="A58" s="70"/>
      <c r="B58" s="73" t="s">
        <v>138</v>
      </c>
    </row>
    <row r="59" spans="1:2" ht="14.25" x14ac:dyDescent="0.2">
      <c r="A59" s="70"/>
      <c r="B59" s="73" t="s">
        <v>139</v>
      </c>
    </row>
    <row r="60" spans="1:2" ht="14.25" x14ac:dyDescent="0.2">
      <c r="A60" s="78" t="s">
        <v>140</v>
      </c>
      <c r="B60" s="73" t="s">
        <v>141</v>
      </c>
    </row>
    <row r="61" spans="1:2" ht="28.5" x14ac:dyDescent="0.2">
      <c r="A61" s="70"/>
      <c r="B61" s="73" t="s">
        <v>142</v>
      </c>
    </row>
    <row r="62" spans="1:2" ht="14.25" x14ac:dyDescent="0.2">
      <c r="A62" s="78" t="s">
        <v>143</v>
      </c>
      <c r="B62" s="73" t="s">
        <v>144</v>
      </c>
    </row>
    <row r="63" spans="1:2" ht="14.25" x14ac:dyDescent="0.2">
      <c r="A63" s="79"/>
      <c r="B63" s="73" t="s">
        <v>145</v>
      </c>
    </row>
    <row r="64" spans="1:2" x14ac:dyDescent="0.2">
      <c r="B64" s="5"/>
    </row>
    <row r="65" spans="1:2" ht="18" x14ac:dyDescent="0.25">
      <c r="A65" s="152" t="s">
        <v>146</v>
      </c>
      <c r="B65" s="152"/>
    </row>
    <row r="66" spans="1:2" ht="42.75" x14ac:dyDescent="0.2">
      <c r="B66" s="73" t="s">
        <v>147</v>
      </c>
    </row>
    <row r="68" spans="1:2" ht="18" x14ac:dyDescent="0.25">
      <c r="A68" s="152" t="s">
        <v>148</v>
      </c>
      <c r="B68" s="152"/>
    </row>
    <row r="69" spans="1:2" ht="15" x14ac:dyDescent="0.25">
      <c r="A69" s="85" t="s">
        <v>149</v>
      </c>
      <c r="B69" s="86" t="s">
        <v>150</v>
      </c>
    </row>
    <row r="70" spans="1:2" ht="28.5" x14ac:dyDescent="0.2">
      <c r="A70" s="79"/>
      <c r="B70" s="84" t="s">
        <v>151</v>
      </c>
    </row>
    <row r="71" spans="1:2" ht="14.25" x14ac:dyDescent="0.2">
      <c r="A71" s="79"/>
      <c r="B71" s="80"/>
    </row>
    <row r="72" spans="1:2" ht="15" x14ac:dyDescent="0.25">
      <c r="A72" s="85" t="s">
        <v>149</v>
      </c>
      <c r="B72" s="86" t="s">
        <v>152</v>
      </c>
    </row>
    <row r="73" spans="1:2" ht="28.5" x14ac:dyDescent="0.2">
      <c r="A73" s="79"/>
      <c r="B73" s="84" t="s">
        <v>153</v>
      </c>
    </row>
    <row r="74" spans="1:2" ht="14.25" x14ac:dyDescent="0.2">
      <c r="A74" s="79"/>
      <c r="B74" s="80"/>
    </row>
    <row r="75" spans="1:2" ht="15" x14ac:dyDescent="0.25">
      <c r="A75" s="85" t="s">
        <v>149</v>
      </c>
      <c r="B75" s="88" t="s">
        <v>154</v>
      </c>
    </row>
    <row r="76" spans="1:2" ht="42.75" x14ac:dyDescent="0.2">
      <c r="A76" s="79"/>
      <c r="B76" s="72" t="s">
        <v>155</v>
      </c>
    </row>
    <row r="77" spans="1:2" ht="14.25" x14ac:dyDescent="0.2">
      <c r="A77" s="79"/>
      <c r="B77" s="79"/>
    </row>
    <row r="78" spans="1:2" ht="15" x14ac:dyDescent="0.25">
      <c r="A78" s="85" t="s">
        <v>149</v>
      </c>
      <c r="B78" s="88" t="s">
        <v>156</v>
      </c>
    </row>
    <row r="79" spans="1:2" ht="28.5" x14ac:dyDescent="0.2">
      <c r="A79" s="79"/>
      <c r="B79" s="72" t="s">
        <v>157</v>
      </c>
    </row>
    <row r="80" spans="1:2" ht="14.25" x14ac:dyDescent="0.2">
      <c r="A80" s="79"/>
      <c r="B80" s="79"/>
    </row>
    <row r="81" spans="1:2" ht="15" x14ac:dyDescent="0.25">
      <c r="A81" s="85" t="s">
        <v>149</v>
      </c>
      <c r="B81" s="88" t="s">
        <v>158</v>
      </c>
    </row>
    <row r="82" spans="1:2" ht="14.25" x14ac:dyDescent="0.2">
      <c r="A82" s="79"/>
      <c r="B82" s="83" t="s">
        <v>159</v>
      </c>
    </row>
    <row r="83" spans="1:2" ht="14.25" x14ac:dyDescent="0.2">
      <c r="A83" s="79"/>
      <c r="B83" s="83" t="s">
        <v>160</v>
      </c>
    </row>
    <row r="84" spans="1:2" ht="14.25" x14ac:dyDescent="0.2">
      <c r="A84" s="79"/>
      <c r="B84" s="83" t="s">
        <v>161</v>
      </c>
    </row>
    <row r="85" spans="1:2" ht="15" x14ac:dyDescent="0.25">
      <c r="A85" s="79"/>
      <c r="B85" s="82"/>
    </row>
    <row r="86" spans="1:2" ht="15" x14ac:dyDescent="0.25">
      <c r="A86" s="85" t="s">
        <v>149</v>
      </c>
      <c r="B86" s="88" t="s">
        <v>162</v>
      </c>
    </row>
    <row r="87" spans="1:2" ht="42.75" x14ac:dyDescent="0.2">
      <c r="A87" s="79"/>
      <c r="B87" s="72" t="s">
        <v>163</v>
      </c>
    </row>
    <row r="88" spans="1:2" ht="14.25" x14ac:dyDescent="0.2">
      <c r="A88" s="79"/>
      <c r="B88" s="81" t="s">
        <v>164</v>
      </c>
    </row>
    <row r="89" spans="1:2" ht="57" x14ac:dyDescent="0.2">
      <c r="A89" s="79"/>
      <c r="B89" s="87" t="s">
        <v>165</v>
      </c>
    </row>
    <row r="90" spans="1:2" ht="14.25" x14ac:dyDescent="0.2">
      <c r="A90" s="79"/>
      <c r="B90" s="79"/>
    </row>
    <row r="91" spans="1:2" ht="15" x14ac:dyDescent="0.25">
      <c r="A91" s="85" t="s">
        <v>149</v>
      </c>
      <c r="B91" s="88" t="s">
        <v>166</v>
      </c>
    </row>
    <row r="92" spans="1:2" ht="28.5" x14ac:dyDescent="0.2">
      <c r="A92" s="70"/>
      <c r="B92" s="83" t="s">
        <v>167</v>
      </c>
    </row>
    <row r="94" spans="1:2" x14ac:dyDescent="0.2">
      <c r="A94" s="16" t="s">
        <v>168</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election activeCell="A2" sqref="A2"/>
    </sheetView>
  </sheetViews>
  <sheetFormatPr defaultColWidth="8.85546875" defaultRowHeight="12.75" x14ac:dyDescent="0.2"/>
  <cols>
    <col min="1" max="1" width="5.5703125" style="2" customWidth="1"/>
    <col min="2" max="2" width="82.140625" style="2" customWidth="1"/>
  </cols>
  <sheetData>
    <row r="1" spans="1:3" ht="30" customHeight="1" x14ac:dyDescent="0.2">
      <c r="A1" s="23" t="s">
        <v>169</v>
      </c>
      <c r="B1" s="23"/>
    </row>
    <row r="2" spans="1:3" ht="15" x14ac:dyDescent="0.2">
      <c r="B2" s="27"/>
    </row>
    <row r="3" spans="1:3" ht="15" x14ac:dyDescent="0.2">
      <c r="A3" s="25"/>
      <c r="B3" s="20" t="s">
        <v>170</v>
      </c>
      <c r="C3" s="26"/>
    </row>
    <row r="4" spans="1:3" ht="14.25" x14ac:dyDescent="0.2">
      <c r="A4" s="6"/>
      <c r="B4" s="22" t="s">
        <v>65</v>
      </c>
      <c r="C4" s="7"/>
    </row>
    <row r="5" spans="1:3" ht="15" x14ac:dyDescent="0.2">
      <c r="A5" s="6"/>
      <c r="B5" s="8"/>
      <c r="C5" s="7"/>
    </row>
    <row r="6" spans="1:3" ht="15.75" x14ac:dyDescent="0.25">
      <c r="A6" s="6"/>
      <c r="B6" s="9" t="s">
        <v>168</v>
      </c>
      <c r="C6" s="7"/>
    </row>
    <row r="7" spans="1:3" ht="15" x14ac:dyDescent="0.2">
      <c r="A7" s="6"/>
      <c r="B7" s="8"/>
      <c r="C7" s="7"/>
    </row>
    <row r="8" spans="1:3" ht="30" x14ac:dyDescent="0.2">
      <c r="A8" s="6"/>
      <c r="B8" s="8" t="s">
        <v>171</v>
      </c>
      <c r="C8" s="7"/>
    </row>
    <row r="9" spans="1:3" ht="15" x14ac:dyDescent="0.2">
      <c r="A9" s="6"/>
      <c r="B9" s="8"/>
      <c r="C9" s="7"/>
    </row>
    <row r="10" spans="1:3" ht="46.5" x14ac:dyDescent="0.25">
      <c r="A10" s="6"/>
      <c r="B10" s="8" t="s">
        <v>172</v>
      </c>
      <c r="C10" s="7"/>
    </row>
    <row r="11" spans="1:3" ht="15" x14ac:dyDescent="0.2">
      <c r="A11" s="6"/>
      <c r="B11" s="8"/>
      <c r="C11" s="7"/>
    </row>
    <row r="12" spans="1:3" ht="45" x14ac:dyDescent="0.2">
      <c r="A12" s="6"/>
      <c r="B12" s="8" t="s">
        <v>173</v>
      </c>
      <c r="C12" s="7"/>
    </row>
    <row r="13" spans="1:3" ht="15" x14ac:dyDescent="0.2">
      <c r="A13" s="6"/>
      <c r="B13" s="8"/>
      <c r="C13" s="7"/>
    </row>
    <row r="14" spans="1:3" ht="60" x14ac:dyDescent="0.2">
      <c r="A14" s="6"/>
      <c r="B14" s="8" t="s">
        <v>174</v>
      </c>
      <c r="C14" s="7"/>
    </row>
    <row r="15" spans="1:3" ht="15" x14ac:dyDescent="0.2">
      <c r="A15" s="6"/>
      <c r="B15" s="8"/>
      <c r="C15" s="7"/>
    </row>
    <row r="16" spans="1:3" ht="30.75" x14ac:dyDescent="0.2">
      <c r="A16" s="6"/>
      <c r="B16" s="8" t="s">
        <v>175</v>
      </c>
      <c r="C16" s="7"/>
    </row>
    <row r="17" spans="1:3" ht="15" x14ac:dyDescent="0.2">
      <c r="A17" s="6"/>
      <c r="B17" s="8"/>
      <c r="C17" s="7"/>
    </row>
    <row r="18" spans="1:3" ht="15.75" x14ac:dyDescent="0.25">
      <c r="A18" s="6"/>
      <c r="B18" s="9" t="s">
        <v>176</v>
      </c>
      <c r="C18" s="7"/>
    </row>
    <row r="19" spans="1:3" ht="15" x14ac:dyDescent="0.2">
      <c r="A19" s="6"/>
      <c r="B19" s="21" t="s">
        <v>177</v>
      </c>
      <c r="C19" s="7"/>
    </row>
    <row r="20" spans="1:3" ht="15" x14ac:dyDescent="0.2">
      <c r="A20" s="6"/>
      <c r="B20" s="10"/>
      <c r="C20" s="7"/>
    </row>
    <row r="21" spans="1:3" x14ac:dyDescent="0.2">
      <c r="A21" s="6"/>
      <c r="B21" s="6"/>
      <c r="C21" s="7"/>
    </row>
    <row r="22" spans="1:3" x14ac:dyDescent="0.2">
      <c r="A22" s="6"/>
      <c r="B22" s="6"/>
      <c r="C22" s="7"/>
    </row>
    <row r="23" spans="1:3" x14ac:dyDescent="0.2">
      <c r="A23" s="6"/>
      <c r="B23" s="6"/>
      <c r="C23" s="7"/>
    </row>
    <row r="24" spans="1:3" x14ac:dyDescent="0.2">
      <c r="A24" s="6"/>
      <c r="B24" s="6"/>
      <c r="C24" s="7"/>
    </row>
    <row r="25" spans="1:3" x14ac:dyDescent="0.2">
      <c r="A25" s="6"/>
      <c r="B25" s="6"/>
      <c r="C25" s="7"/>
    </row>
    <row r="26" spans="1:3" x14ac:dyDescent="0.2">
      <c r="A26" s="6"/>
      <c r="B26" s="6"/>
      <c r="C26" s="7"/>
    </row>
    <row r="27" spans="1:3" x14ac:dyDescent="0.2">
      <c r="A27" s="6"/>
      <c r="B27" s="6"/>
      <c r="C27" s="7"/>
    </row>
    <row r="28" spans="1:3" x14ac:dyDescent="0.2">
      <c r="A28" s="6"/>
      <c r="B28" s="6"/>
      <c r="C28" s="7"/>
    </row>
    <row r="29" spans="1:3" x14ac:dyDescent="0.2">
      <c r="A29" s="6"/>
      <c r="B29" s="6"/>
      <c r="C29" s="7"/>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CB545EDB3FED42AEDC9C876E08A802" ma:contentTypeVersion="8" ma:contentTypeDescription="Create a new document." ma:contentTypeScope="" ma:versionID="c8ff32027ebe8a45262dffb5b41b6e71">
  <xsd:schema xmlns:xsd="http://www.w3.org/2001/XMLSchema" xmlns:xs="http://www.w3.org/2001/XMLSchema" xmlns:p="http://schemas.microsoft.com/office/2006/metadata/properties" xmlns:ns3="54702910-f6d2-4863-b108-84849bc2335a" xmlns:ns4="93b1d675-fdbb-43b7-a87c-84e964be2281" targetNamespace="http://schemas.microsoft.com/office/2006/metadata/properties" ma:root="true" ma:fieldsID="22f2360d34c146cf0c25e39f394a55b1" ns3:_="" ns4:_="">
    <xsd:import namespace="54702910-f6d2-4863-b108-84849bc2335a"/>
    <xsd:import namespace="93b1d675-fdbb-43b7-a87c-84e964be228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02910-f6d2-4863-b108-84849bc233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b1d675-fdbb-43b7-a87c-84e964be228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4702910-f6d2-4863-b108-84849bc2335a" xsi:nil="true"/>
  </documentManagement>
</p:properties>
</file>

<file path=customXml/itemProps1.xml><?xml version="1.0" encoding="utf-8"?>
<ds:datastoreItem xmlns:ds="http://schemas.openxmlformats.org/officeDocument/2006/customXml" ds:itemID="{756EBCF0-F835-47D1-BF2A-B52FA759A678}">
  <ds:schemaRefs>
    <ds:schemaRef ds:uri="http://schemas.microsoft.com/sharepoint/v3/contenttype/forms"/>
  </ds:schemaRefs>
</ds:datastoreItem>
</file>

<file path=customXml/itemProps2.xml><?xml version="1.0" encoding="utf-8"?>
<ds:datastoreItem xmlns:ds="http://schemas.openxmlformats.org/officeDocument/2006/customXml" ds:itemID="{5D023404-1072-428C-AF68-C176329DF4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2910-f6d2-4863-b108-84849bc2335a"/>
    <ds:schemaRef ds:uri="93b1d675-fdbb-43b7-a87c-84e964be22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1CB840-48B4-4AF7-87AD-FA0B7213C4A1}">
  <ds:schemaRefs>
    <ds:schemaRef ds:uri="http://www.w3.org/XML/1998/namespace"/>
    <ds:schemaRef ds:uri="93b1d675-fdbb-43b7-a87c-84e964be2281"/>
    <ds:schemaRef ds:uri="http://purl.org/dc/terms/"/>
    <ds:schemaRef ds:uri="http://schemas.microsoft.com/office/2006/documentManagement/types"/>
    <ds:schemaRef ds:uri="http://schemas.microsoft.com/office/infopath/2007/PartnerControls"/>
    <ds:schemaRef ds:uri="http://purl.org/dc/dcmitype/"/>
    <ds:schemaRef ds:uri="http://purl.org/dc/elements/1.1/"/>
    <ds:schemaRef ds:uri="http://schemas.openxmlformats.org/package/2006/metadata/core-properties"/>
    <ds:schemaRef ds:uri="54702910-f6d2-4863-b108-84849bc2335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4</vt:i4>
      </vt:variant>
      <vt:variant>
        <vt:lpstr>Charts</vt:lpstr>
      </vt:variant>
      <vt:variant>
        <vt:i4>3</vt:i4>
      </vt:variant>
      <vt:variant>
        <vt:lpstr>Named Ranges</vt:lpstr>
      </vt:variant>
      <vt:variant>
        <vt:i4>4</vt:i4>
      </vt:variant>
    </vt:vector>
  </HeadingPairs>
  <TitlesOfParts>
    <vt:vector size="11" baseType="lpstr">
      <vt:lpstr>GanttChart</vt:lpstr>
      <vt:lpstr>GanttChartPro</vt:lpstr>
      <vt:lpstr>Help</vt:lpstr>
      <vt:lpstr>TermsOfUse</vt:lpstr>
      <vt:lpstr>Chart3</vt:lpstr>
      <vt:lpstr>Chart2</vt:lpstr>
      <vt:lpstr>Chart1</vt:lpstr>
      <vt:lpstr>GanttChart!prevWBS</vt:lpstr>
      <vt:lpstr>GanttChart!Print_Area</vt:lpstr>
      <vt:lpstr>GanttChartPro!Print_Area</vt:lpstr>
      <vt:lpstr>GanttChart!Print_Titles</vt:lpstr>
    </vt:vector>
  </TitlesOfParts>
  <Manager/>
  <Company>Vertex42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subject/>
  <dc:creator>Vertex42.com</dc:creator>
  <cp:keywords/>
  <dc:description>(c) 2006-2018 Vertex42 LLC. All Rights Reserved.</dc:description>
  <cp:lastModifiedBy>Parry Zhuo</cp:lastModifiedBy>
  <cp:revision/>
  <cp:lastPrinted>2025-12-01T05:46:54Z</cp:lastPrinted>
  <dcterms:created xsi:type="dcterms:W3CDTF">2010-06-09T16:05:03Z</dcterms:created>
  <dcterms:modified xsi:type="dcterms:W3CDTF">2025-12-06T06:15:43Z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y fmtid="{D5CDD505-2E9C-101B-9397-08002B2CF9AE}" pid="5" name="ContentTypeId">
    <vt:lpwstr>0x010100A4CB545EDB3FED42AEDC9C876E08A802</vt:lpwstr>
  </property>
</Properties>
</file>