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rry\Documents\GITHUB_desktop\Vital-link-hardware\BOM\"/>
    </mc:Choice>
  </mc:AlternateContent>
  <xr:revisionPtr revIDLastSave="0" documentId="13_ncr:1_{37AC4424-4758-447E-9653-863CEFE9B14A}" xr6:coauthVersionLast="47" xr6:coauthVersionMax="47" xr10:uidLastSave="{00000000-0000-0000-0000-000000000000}"/>
  <bookViews>
    <workbookView xWindow="-30816" yWindow="-96" windowWidth="30912" windowHeight="167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4" i="1"/>
  <c r="H13" i="1"/>
  <c r="H12" i="1" l="1"/>
  <c r="H11" i="1"/>
  <c r="F21" i="1" l="1"/>
  <c r="F22" i="1" s="1"/>
  <c r="F23" i="1" s="1"/>
</calcChain>
</file>

<file path=xl/sharedStrings.xml><?xml version="1.0" encoding="utf-8"?>
<sst xmlns="http://schemas.openxmlformats.org/spreadsheetml/2006/main" count="43" uniqueCount="43">
  <si>
    <t>BOM #:</t>
  </si>
  <si>
    <t>Group:</t>
  </si>
  <si>
    <t>Multi-Sensor Health Monitoring System</t>
  </si>
  <si>
    <t>Names:</t>
  </si>
  <si>
    <t>Zhuo, Parry</t>
  </si>
  <si>
    <t>Purohit, Jishiv</t>
  </si>
  <si>
    <t>Brar, Akashdeep</t>
  </si>
  <si>
    <t>Inguito, Ryan</t>
  </si>
  <si>
    <t>Mentor:</t>
  </si>
  <si>
    <t>Bob Gill</t>
  </si>
  <si>
    <t>Address:</t>
  </si>
  <si>
    <t>BCIT SW1-3069</t>
  </si>
  <si>
    <t>#</t>
  </si>
  <si>
    <t>Link</t>
  </si>
  <si>
    <t>Manufacturer Part Number</t>
  </si>
  <si>
    <t>Description</t>
  </si>
  <si>
    <t>Quantity</t>
  </si>
  <si>
    <t>Shipping Price</t>
  </si>
  <si>
    <t>Unit Price</t>
  </si>
  <si>
    <t>Cost</t>
  </si>
  <si>
    <t>Notes</t>
  </si>
  <si>
    <t>SUBTOTAL</t>
  </si>
  <si>
    <t>TAX (12%)</t>
  </si>
  <si>
    <t>TOTAL</t>
  </si>
  <si>
    <t>ECG specific board</t>
  </si>
  <si>
    <t>https://www.aliexpress.com/item/1005009180943063.html?spm=a2g0o.productlist.main.9.21915c61oF6QAf&amp;algo_pvid=5f32d17c-5085-463e-bf55-f579c014c13a&amp;algo_exp_id=5f32d17c-5085-463e-bf55-f579c014c13a-8&amp;pdp_ext_f=%7B%22order%22%3A%22132%22%2C%22spu_best_type%22%3A%22order%22%2C%22eval%22%3A%221%22%2C%22fromPage%22%3A%22search%22%7D&amp;pdp_npi=6%40dis!CAD!9.78!4.79!!!47.86!23.45!%402103129017688064390718772ebb33!12000048217403188!sea!CA!3114729883!ACX!1!0!n_tag%3A-29919%3Bd%3A5279d241%3Bm03_new_user%3A-29894&amp;curPageLogUid=4L9aGEGiNkMr&amp;utparam-url=scene%3Asearch%7Cquery_from%3A%7Cx_object_id%3A1005009180943063%7C_p_origin_prod%3A#nav-review</t>
  </si>
  <si>
    <t>80mAh Lithium battery</t>
  </si>
  <si>
    <t>1Piece 3.7V 80mAh 501220 Rechargeable Lithium Battery For Headsets 3D Glasses Sports Bracelets More Gadgets</t>
  </si>
  <si>
    <t>8% off on 10 items.
80mAH Battery, expected delivery time is 1 month</t>
  </si>
  <si>
    <t>https://www.mouser.ca/ProductDetail/Analog-Devices-Maxim-Integrated/MAX30003WING?qs=55YtniHzbhB8FzqvuARmyw%3D%3D</t>
  </si>
  <si>
    <t>MAX30003WING#</t>
  </si>
  <si>
    <t>Data Conversion IC Development Tools ECG AFE feather board</t>
  </si>
  <si>
    <t>https://www.mouser.ca/ProductDetail/SparkFun/SEN-12969?qs=WyAARYrbSnaajKSHkjOGnw%3D%3D&amp;srsltid=AfmBOopLlhnPtYg_Z8E7CQDvXOVRvZXciZKFLqnQvesH_fLeNzKnnWjU</t>
  </si>
  <si>
    <t>SEN-12969</t>
  </si>
  <si>
    <t>Biometric Sensors Disposable Surface EMG/ECG/EKG Electrode - 24mm (10 pack)</t>
  </si>
  <si>
    <t>3 x 10pack for 0$ shipping</t>
  </si>
  <si>
    <t>https://www.digikey.ca/en/products/detail/adafruit-industries-llc/5769/21839817?gclsrc=aw.ds&amp;gad_source=1&amp;gad_campaignid=17336435733&amp;gbraid=0AAAAADrbLlhXDe08yOoP63C5t6HKt3V2k&amp;gclid=CjwKCAiA-__MBhAKEiwASBmsBHBtHU8XUd0Na4IMPWLOVqlEx2jbfC-n0reYroSOLcnLN44evtH9rxoCQRkQAvD_BwE</t>
  </si>
  <si>
    <t>ADAFRUIT AUDIO BFF ADD-ON FOR QT</t>
  </si>
  <si>
    <t>https://www.amazon.ca/Buttons-Clothes-Fastener-Clothing-Handbag/dp/B0DBR3X78N/ref=sr_1_6?crid=25LSB6NWQJNEL&amp;dib=eyJ2IjoiMSJ9.Uo27Zx0Q9Vf_c8tkqzoLIWDuhfrIdTZih4O0qvmzBH8pUXatc8wQZmZlUzU-2DVNkz8SuhRZjhlD5j9EKVA6yxqLd6F4g2eAVcUaeHaPxiDQI6d70h-yqyiaqvd4-hLpbbLzDVYoiQLv6q93EbzHnog7ZyMHy4UVpjfpCdavLPWQdCOhzXQGDvecFAQw0VjCU88ZthNZI9r5ISqzKPIBHOEc6fX5u2njU2beLmH6zHEbRRMIWRu4QQziOrFvoTVST7NCqSLb1Za0JEqq2uP3lPOPz1eVCS0ZcE8AuThApIs.hPV6sp7U3ttAoUhuXvQLROhIYhPThDa0rnYrMCUvJx8&amp;dib_tag=se&amp;keywords=12+mm+garment+snap+fasteners&amp;qid=1771800386&amp;sprefix=12+mm+garment+snap+fasteners%2Caps%2C183&amp;sr=8-6</t>
  </si>
  <si>
    <t>Sew on Snap Buttons, 20 Sets Clothes Hidden Sew on Press Studs Button Metal Snaps Fastener for Sewing Clothing Craft Handbag 12mm 8.5mm</t>
  </si>
  <si>
    <t>https://udevices.io/products/disposable-gel-electrodes?srsltid=AfmBOoqBlqFxZY3Ow9qXB0ZziRh7yMf2WqD4JWu5qu-EBnS-m4i1XIGE</t>
  </si>
  <si>
    <t>UD-0009</t>
  </si>
  <si>
    <t>Disposable gel electrodes (30mm, 10pcs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</si>
</sst>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0"/>
      <color rgb="FF000000"/>
      <name val="Arial"/>
      <scheme val="minor"/>
    </font>
    <font>
      <sz val="14"/>
      <color rgb="FF000000"/>
      <name val="Arial"/>
    </font>
    <font>
      <sz val="10"/>
      <color rgb="FF000000"/>
      <name val="Arial"/>
    </font>
    <font>
      <sz val="14"/>
      <color rgb="FF000000"/>
      <name val="Calibri"/>
    </font>
    <font>
      <sz val="10"/>
      <name val="Arial"/>
    </font>
    <font>
      <b/>
      <sz val="16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222222"/>
      <name val="Roboto"/>
    </font>
    <font>
      <b/>
      <sz val="14"/>
      <color rgb="FF000000"/>
      <name val="Arial"/>
    </font>
    <font>
      <b/>
      <sz val="14"/>
      <color rgb="FF000000"/>
      <name val="Arial"/>
      <family val="2"/>
    </font>
    <font>
      <sz val="12"/>
      <color rgb="FF333333"/>
      <name val="Arial"/>
      <family val="2"/>
      <scheme val="minor"/>
    </font>
    <font>
      <sz val="10"/>
      <color rgb="FF000000"/>
      <name val="Arial"/>
      <family val="2"/>
    </font>
    <font>
      <sz val="12"/>
      <color rgb="FF333333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scheme val="minor"/>
    </font>
    <font>
      <sz val="11"/>
      <color rgb="FF222222"/>
      <name val="Roboto"/>
    </font>
    <font>
      <sz val="11"/>
      <color rgb="FF222222"/>
      <name val="Roboto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9" fillId="0" borderId="1" xfId="0" applyFont="1" applyBorder="1"/>
    <xf numFmtId="0" fontId="6" fillId="0" borderId="7" xfId="0" applyFont="1" applyBorder="1"/>
    <xf numFmtId="0" fontId="14" fillId="0" borderId="7" xfId="0" applyFont="1" applyBorder="1"/>
    <xf numFmtId="0" fontId="9" fillId="0" borderId="4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1" fillId="0" borderId="7" xfId="0" applyFont="1" applyBorder="1" applyAlignment="1">
      <alignment horizontal="left" vertical="center" wrapText="1"/>
    </xf>
    <xf numFmtId="0" fontId="13" fillId="0" borderId="7" xfId="0" applyFont="1" applyBorder="1"/>
    <xf numFmtId="0" fontId="7" fillId="0" borderId="7" xfId="0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8" fillId="2" borderId="7" xfId="0" applyNumberFormat="1" applyFont="1" applyFill="1" applyBorder="1" applyAlignment="1">
      <alignment horizontal="right"/>
    </xf>
    <xf numFmtId="0" fontId="12" fillId="0" borderId="7" xfId="0" applyFont="1" applyBorder="1"/>
    <xf numFmtId="0" fontId="11" fillId="0" borderId="7" xfId="0" applyFont="1" applyBorder="1"/>
    <xf numFmtId="0" fontId="12" fillId="0" borderId="7" xfId="0" applyFont="1" applyBorder="1" applyAlignment="1">
      <alignment wrapText="1"/>
    </xf>
    <xf numFmtId="0" fontId="0" fillId="0" borderId="7" xfId="0" applyBorder="1"/>
    <xf numFmtId="0" fontId="7" fillId="0" borderId="7" xfId="0" applyFont="1" applyBorder="1"/>
    <xf numFmtId="0" fontId="7" fillId="0" borderId="7" xfId="0" applyFont="1" applyBorder="1" applyAlignment="1">
      <alignment horizontal="left"/>
    </xf>
    <xf numFmtId="0" fontId="6" fillId="0" borderId="0" xfId="0" applyFont="1"/>
    <xf numFmtId="0" fontId="16" fillId="0" borderId="7" xfId="0" applyFont="1" applyBorder="1"/>
    <xf numFmtId="0" fontId="17" fillId="0" borderId="7" xfId="0" applyFont="1" applyBorder="1"/>
    <xf numFmtId="0" fontId="15" fillId="0" borderId="7" xfId="1" applyBorder="1"/>
    <xf numFmtId="0" fontId="2" fillId="0" borderId="7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18" fillId="0" borderId="0" xfId="0" applyFont="1"/>
    <xf numFmtId="0" fontId="1" fillId="0" borderId="2" xfId="0" applyFont="1" applyBorder="1" applyAlignment="1">
      <alignment horizontal="left" vertical="top"/>
    </xf>
    <xf numFmtId="0" fontId="4" fillId="0" borderId="3" xfId="0" applyFont="1" applyBorder="1"/>
    <xf numFmtId="0" fontId="4" fillId="0" borderId="4" xfId="0" applyFont="1" applyBorder="1"/>
    <xf numFmtId="164" fontId="1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164" fontId="1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164" fontId="9" fillId="0" borderId="5" xfId="0" applyNumberFormat="1" applyFont="1" applyBorder="1" applyAlignment="1">
      <alignment horizontal="center"/>
    </xf>
    <xf numFmtId="0" fontId="10" fillId="3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devices.io/products/disposable-gel-electrodes?srsltid=AfmBOoqBlqFxZY3Ow9qXB0ZziRh7yMf2WqD4JWu5qu-EBnS-m4i1XIGE" TargetMode="External"/><Relationship Id="rId1" Type="http://schemas.openxmlformats.org/officeDocument/2006/relationships/hyperlink" Target="https://www.amazon.ca/Buttons-Clothes-Fastener-Clothing-Handbag/dp/B0DBR3X78N/ref=sr_1_6?crid=25LSB6NWQJNEL&amp;dib=eyJ2IjoiMSJ9.Uo27Zx0Q9Vf_c8tkqzoLIWDuhfrIdTZih4O0qvmzBH8pUXatc8wQZmZlUzU-2DVNkz8SuhRZjhlD5j9EKVA6yxqLd6F4g2eAVcUaeHaPxiDQI6d70h-yqyiaqvd4-hLpbbLzDVYoiQLv6q93EbzHnog7ZyMHy4UVpjfpCdavLPWQdCOhzXQGDvecFAQw0VjCU88ZthNZI9r5ISqzKPIBHOEc6fX5u2njU2beLmH6zHEbRRMIWRu4QQziOrFvoTVST7NCqSLb1Za0JEqq2uP3lPOPz1eVCS0ZcE8AuThApIs.hPV6sp7U3ttAoUhuXvQLROhIYhPThDa0rnYrMCUvJx8&amp;dib_tag=se&amp;keywords=12+mm+garment+snap+fasteners&amp;qid=1771800386&amp;sprefix=12+mm+garment+snap+fasteners%2Caps%2C183&amp;sr=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"/>
  <sheetViews>
    <sheetView tabSelected="1" zoomScale="87" zoomScaleNormal="100" workbookViewId="0">
      <selection activeCell="F26" sqref="F26"/>
    </sheetView>
  </sheetViews>
  <sheetFormatPr defaultColWidth="12.59765625" defaultRowHeight="15.75" customHeight="1" x14ac:dyDescent="0.35"/>
  <cols>
    <col min="1" max="1" width="16.3984375" customWidth="1"/>
    <col min="2" max="2" width="79.1328125" customWidth="1"/>
    <col min="3" max="3" width="34.59765625" customWidth="1"/>
    <col min="4" max="4" width="96.3984375" bestFit="1" customWidth="1"/>
    <col min="9" max="9" width="31.3984375" customWidth="1"/>
  </cols>
  <sheetData>
    <row r="1" spans="1:9" ht="15.75" customHeight="1" x14ac:dyDescent="0.45">
      <c r="A1" s="1" t="s">
        <v>0</v>
      </c>
      <c r="B1" s="1">
        <v>2</v>
      </c>
      <c r="C1" s="41"/>
      <c r="D1" s="41"/>
      <c r="E1" s="41"/>
      <c r="F1" s="41"/>
      <c r="G1" s="41"/>
      <c r="H1" s="2"/>
      <c r="I1" s="2"/>
    </row>
    <row r="2" spans="1:9" ht="28.5" customHeight="1" x14ac:dyDescent="0.55000000000000004">
      <c r="A2" s="1" t="s">
        <v>1</v>
      </c>
      <c r="B2" s="3" t="s">
        <v>2</v>
      </c>
      <c r="C2" s="41"/>
      <c r="D2" s="41"/>
      <c r="E2" s="41"/>
      <c r="F2" s="41"/>
      <c r="G2" s="41"/>
      <c r="H2" s="2"/>
      <c r="I2" s="2"/>
    </row>
    <row r="3" spans="1:9" ht="15.75" customHeight="1" x14ac:dyDescent="0.45">
      <c r="A3" s="31" t="s">
        <v>3</v>
      </c>
      <c r="B3" s="1" t="s">
        <v>4</v>
      </c>
      <c r="C3" s="2"/>
      <c r="D3" s="2"/>
      <c r="E3" s="2"/>
      <c r="F3" s="2"/>
      <c r="G3" s="2"/>
      <c r="H3" s="2"/>
      <c r="I3" s="2"/>
    </row>
    <row r="4" spans="1:9" ht="15.75" customHeight="1" x14ac:dyDescent="0.45">
      <c r="A4" s="32"/>
      <c r="B4" s="4" t="s">
        <v>5</v>
      </c>
      <c r="D4" s="2"/>
      <c r="E4" s="2"/>
      <c r="F4" s="2"/>
      <c r="G4" s="2"/>
      <c r="H4" s="2"/>
      <c r="I4" s="2"/>
    </row>
    <row r="5" spans="1:9" ht="15.75" customHeight="1" x14ac:dyDescent="0.45">
      <c r="A5" s="32"/>
      <c r="B5" s="4" t="s">
        <v>6</v>
      </c>
      <c r="D5" s="2"/>
      <c r="E5" s="2"/>
      <c r="F5" s="2"/>
      <c r="G5" s="2"/>
      <c r="H5" s="2"/>
      <c r="I5" s="2"/>
    </row>
    <row r="6" spans="1:9" ht="15.75" customHeight="1" x14ac:dyDescent="0.45">
      <c r="A6" s="33"/>
      <c r="B6" s="1" t="s">
        <v>7</v>
      </c>
      <c r="C6" s="2"/>
      <c r="D6" s="2"/>
      <c r="E6" s="2"/>
      <c r="F6" s="2"/>
      <c r="G6" s="2"/>
      <c r="H6" s="2"/>
      <c r="I6" s="2"/>
    </row>
    <row r="7" spans="1:9" ht="15.75" customHeight="1" x14ac:dyDescent="0.45">
      <c r="A7" s="1" t="s">
        <v>8</v>
      </c>
      <c r="B7" s="1" t="s">
        <v>9</v>
      </c>
      <c r="C7" s="2"/>
      <c r="D7" s="2"/>
      <c r="E7" s="2"/>
      <c r="F7" s="2"/>
      <c r="G7" s="2"/>
      <c r="H7" s="2"/>
      <c r="I7" s="2"/>
    </row>
    <row r="8" spans="1:9" ht="15.75" customHeight="1" x14ac:dyDescent="0.45">
      <c r="A8" s="1" t="s">
        <v>10</v>
      </c>
      <c r="B8" s="1" t="s">
        <v>11</v>
      </c>
      <c r="C8" s="2"/>
      <c r="D8" s="2"/>
      <c r="E8" s="2"/>
      <c r="F8" s="2"/>
      <c r="G8" s="2"/>
      <c r="H8" s="2"/>
      <c r="I8" s="2"/>
    </row>
    <row r="9" spans="1:9" ht="15.75" customHeight="1" x14ac:dyDescent="0.45">
      <c r="A9" s="4"/>
      <c r="B9" s="2"/>
      <c r="C9" s="2"/>
      <c r="D9" s="2"/>
      <c r="E9" s="2"/>
      <c r="F9" s="2"/>
      <c r="G9" s="2"/>
      <c r="H9" s="2"/>
      <c r="I9" s="2"/>
    </row>
    <row r="10" spans="1:9" ht="15.75" customHeight="1" x14ac:dyDescent="0.6">
      <c r="A10" s="10" t="s">
        <v>12</v>
      </c>
      <c r="B10" s="10" t="s">
        <v>13</v>
      </c>
      <c r="C10" s="11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19</v>
      </c>
      <c r="I10" s="10" t="s">
        <v>20</v>
      </c>
    </row>
    <row r="11" spans="1:9" ht="15.75" customHeight="1" x14ac:dyDescent="0.45">
      <c r="A11" s="12">
        <v>1</v>
      </c>
      <c r="B11" s="7" t="s">
        <v>29</v>
      </c>
      <c r="C11" s="13" t="s">
        <v>30</v>
      </c>
      <c r="D11" s="14" t="s">
        <v>31</v>
      </c>
      <c r="E11" s="15">
        <v>1</v>
      </c>
      <c r="F11" s="16">
        <v>0</v>
      </c>
      <c r="G11" s="17">
        <v>64.81</v>
      </c>
      <c r="H11" s="16">
        <f>(G11*E11)</f>
        <v>64.81</v>
      </c>
      <c r="I11" s="18" t="s">
        <v>24</v>
      </c>
    </row>
    <row r="12" spans="1:9" ht="15.75" customHeight="1" x14ac:dyDescent="0.45">
      <c r="A12" s="12">
        <v>2</v>
      </c>
      <c r="B12" s="7" t="s">
        <v>32</v>
      </c>
      <c r="C12" s="19" t="s">
        <v>33</v>
      </c>
      <c r="D12" s="14" t="s">
        <v>34</v>
      </c>
      <c r="E12" s="15">
        <v>2</v>
      </c>
      <c r="F12" s="16">
        <v>0</v>
      </c>
      <c r="G12" s="16">
        <v>14.83</v>
      </c>
      <c r="H12" s="16">
        <f>(G12*E12)</f>
        <v>29.66</v>
      </c>
      <c r="I12" s="20" t="s">
        <v>35</v>
      </c>
    </row>
    <row r="13" spans="1:9" ht="46.5" customHeight="1" x14ac:dyDescent="0.45">
      <c r="A13" s="12">
        <v>3</v>
      </c>
      <c r="B13" s="8" t="s">
        <v>25</v>
      </c>
      <c r="C13" s="26" t="s">
        <v>26</v>
      </c>
      <c r="D13" s="22" t="s">
        <v>27</v>
      </c>
      <c r="E13" s="15">
        <v>5</v>
      </c>
      <c r="F13" s="16">
        <v>5.34</v>
      </c>
      <c r="G13" s="16">
        <v>4.79</v>
      </c>
      <c r="H13" s="16">
        <f>(G13*E13)*0.92+F13</f>
        <v>27.373999999999999</v>
      </c>
      <c r="I13" s="20" t="s">
        <v>28</v>
      </c>
    </row>
    <row r="14" spans="1:9" ht="17.25" x14ac:dyDescent="0.45">
      <c r="A14" s="12">
        <v>4</v>
      </c>
      <c r="B14" s="7" t="s">
        <v>36</v>
      </c>
      <c r="C14" s="13">
        <v>5769</v>
      </c>
      <c r="D14" s="19" t="s">
        <v>37</v>
      </c>
      <c r="E14" s="28">
        <v>1</v>
      </c>
      <c r="F14" s="29">
        <v>0</v>
      </c>
      <c r="G14" s="17">
        <v>8.59</v>
      </c>
      <c r="H14" s="29">
        <f>(G14*E14)</f>
        <v>8.59</v>
      </c>
      <c r="I14" s="22"/>
    </row>
    <row r="15" spans="1:9" ht="17.25" x14ac:dyDescent="0.45">
      <c r="A15" s="12">
        <v>5</v>
      </c>
      <c r="B15" s="27" t="s">
        <v>38</v>
      </c>
      <c r="C15" s="19"/>
      <c r="D15" s="25" t="s">
        <v>39</v>
      </c>
      <c r="E15" s="28">
        <v>1</v>
      </c>
      <c r="F15" s="29">
        <v>0</v>
      </c>
      <c r="G15" s="29">
        <v>7.97</v>
      </c>
      <c r="H15" s="29">
        <f>(G15*E15)</f>
        <v>7.97</v>
      </c>
      <c r="I15" s="22"/>
    </row>
    <row r="16" spans="1:9" ht="15.75" customHeight="1" x14ac:dyDescent="0.7">
      <c r="A16" s="12">
        <v>6</v>
      </c>
      <c r="B16" s="27" t="s">
        <v>40</v>
      </c>
      <c r="C16" s="30" t="s">
        <v>41</v>
      </c>
      <c r="D16" s="25" t="s">
        <v>42</v>
      </c>
      <c r="E16" s="21">
        <v>4</v>
      </c>
      <c r="F16" s="21">
        <v>11.6</v>
      </c>
      <c r="G16" s="21">
        <v>6.83</v>
      </c>
      <c r="H16" s="29">
        <f>(G16*E16)</f>
        <v>27.32</v>
      </c>
      <c r="I16" s="22"/>
    </row>
    <row r="19" spans="1:9" ht="15.75" customHeight="1" x14ac:dyDescent="0.45">
      <c r="A19" s="12"/>
      <c r="B19" s="7"/>
      <c r="C19" s="23"/>
      <c r="D19" s="22"/>
      <c r="E19" s="15"/>
      <c r="F19" s="16"/>
      <c r="G19" s="16"/>
      <c r="H19" s="16"/>
      <c r="I19" s="22"/>
    </row>
    <row r="20" spans="1:9" ht="15.75" customHeight="1" x14ac:dyDescent="0.45">
      <c r="A20" s="12"/>
      <c r="B20" s="7"/>
      <c r="C20" s="23"/>
      <c r="D20" s="22"/>
      <c r="E20" s="15"/>
      <c r="F20" s="16"/>
      <c r="G20" s="16"/>
      <c r="H20" s="16"/>
      <c r="I20" s="22"/>
    </row>
    <row r="21" spans="1:9" ht="15.75" customHeight="1" x14ac:dyDescent="0.5">
      <c r="A21" s="4"/>
      <c r="B21" s="24"/>
      <c r="C21" s="5"/>
      <c r="D21" s="4"/>
      <c r="E21" s="9" t="s">
        <v>21</v>
      </c>
      <c r="F21" s="34">
        <f>SUM(H11:H20)</f>
        <v>165.72399999999999</v>
      </c>
      <c r="G21" s="35"/>
      <c r="H21" s="36"/>
      <c r="I21" s="4"/>
    </row>
    <row r="22" spans="1:9" ht="15.75" customHeight="1" x14ac:dyDescent="0.5">
      <c r="A22" s="4"/>
      <c r="B22" s="24"/>
      <c r="C22" s="5"/>
      <c r="D22" s="4"/>
      <c r="E22" s="6" t="s">
        <v>22</v>
      </c>
      <c r="F22" s="37">
        <f>F21*0.12</f>
        <v>19.886879999999998</v>
      </c>
      <c r="G22" s="38"/>
      <c r="H22" s="39"/>
      <c r="I22" s="4"/>
    </row>
    <row r="23" spans="1:9" ht="15.75" customHeight="1" x14ac:dyDescent="0.5">
      <c r="A23" s="4"/>
      <c r="B23" s="24"/>
      <c r="C23" s="5"/>
      <c r="D23" s="4"/>
      <c r="E23" s="6" t="s">
        <v>23</v>
      </c>
      <c r="F23" s="40">
        <f>SUM(F21:H22)</f>
        <v>185.61087999999998</v>
      </c>
      <c r="G23" s="38"/>
      <c r="H23" s="39"/>
      <c r="I23" s="4"/>
    </row>
    <row r="24" spans="1:9" ht="15.75" customHeight="1" x14ac:dyDescent="0.45">
      <c r="A24" s="4"/>
      <c r="B24" s="24"/>
      <c r="C24" s="5"/>
      <c r="D24" s="4"/>
      <c r="E24" s="4"/>
      <c r="F24" s="4"/>
      <c r="G24" s="4"/>
      <c r="H24" s="4"/>
      <c r="I24" s="4"/>
    </row>
    <row r="25" spans="1:9" ht="15.75" customHeight="1" x14ac:dyDescent="0.35">
      <c r="B25" s="24"/>
    </row>
    <row r="26" spans="1:9" ht="15.75" customHeight="1" x14ac:dyDescent="0.35">
      <c r="B26" s="24"/>
    </row>
    <row r="27" spans="1:9" ht="15.75" customHeight="1" x14ac:dyDescent="0.35">
      <c r="B27" s="24"/>
    </row>
    <row r="28" spans="1:9" ht="15.75" customHeight="1" x14ac:dyDescent="0.35">
      <c r="B28" s="24"/>
    </row>
    <row r="29" spans="1:9" ht="15.75" customHeight="1" x14ac:dyDescent="0.35">
      <c r="B29" s="24"/>
    </row>
  </sheetData>
  <mergeCells count="5">
    <mergeCell ref="A3:A6"/>
    <mergeCell ref="F21:H21"/>
    <mergeCell ref="F22:H22"/>
    <mergeCell ref="F23:H23"/>
    <mergeCell ref="C1:G2"/>
  </mergeCells>
  <hyperlinks>
    <hyperlink ref="B15" r:id="rId1" display="https://www.amazon.ca/Buttons-Clothes-Fastener-Clothing-Handbag/dp/B0DBR3X78N/ref=sr_1_6?crid=25LSB6NWQJNEL&amp;dib=eyJ2IjoiMSJ9.Uo27Zx0Q9Vf_c8tkqzoLIWDuhfrIdTZih4O0qvmzBH8pUXatc8wQZmZlUzU-2DVNkz8SuhRZjhlD5j9EKVA6yxqLd6F4g2eAVcUaeHaPxiDQI6d70h-yqyiaqvd4-hLpbbLzDVYoiQLv6q93EbzHnog7ZyMHy4UVpjfpCdavLPWQdCOhzXQGDvecFAQw0VjCU88ZthNZI9r5ISqzKPIBHOEc6fX5u2njU2beLmH6zHEbRRMIWRu4QQziOrFvoTVST7NCqSLb1Za0JEqq2uP3lPOPz1eVCS0ZcE8AuThApIs.hPV6sp7U3ttAoUhuXvQLROhIYhPThDa0rnYrMCUvJx8&amp;dib_tag=se&amp;keywords=12+mm+garment+snap+fasteners&amp;qid=1771800386&amp;sprefix=12+mm+garment+snap+fasteners%2Caps%2C183&amp;sr=8-6" xr:uid="{9BA3B35F-0BD1-4CF8-AFCF-438E763E1C2F}"/>
    <hyperlink ref="B16" r:id="rId2" xr:uid="{2FDB6604-FA71-45E7-88CA-2FE1FC276D9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</dc:creator>
  <cp:lastModifiedBy>Parry Zhuo</cp:lastModifiedBy>
  <dcterms:created xsi:type="dcterms:W3CDTF">2025-10-30T21:13:03Z</dcterms:created>
  <dcterms:modified xsi:type="dcterms:W3CDTF">2026-03-11T17:46:55Z</dcterms:modified>
</cp:coreProperties>
</file>