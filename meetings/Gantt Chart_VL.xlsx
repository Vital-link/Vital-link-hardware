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Users\Parry\Documents\GitHub\Vital-link-hardware\meetings\"/>
    </mc:Choice>
  </mc:AlternateContent>
  <xr:revisionPtr revIDLastSave="0" documentId="8_{FC74EEFD-C58A-49C0-8C49-149437E30B4C}" xr6:coauthVersionLast="47" xr6:coauthVersionMax="47" xr10:uidLastSave="{00000000-0000-0000-0000-000000000000}"/>
  <bookViews>
    <workbookView xWindow="-120" yWindow="-120" windowWidth="29040" windowHeight="15840" xr2:uid="{00000000-000D-0000-FFFF-FFFF00000000}"/>
  </bookViews>
  <sheets>
    <sheet name="GanttChart" sheetId="9" r:id="rId1"/>
  </sheets>
  <definedNames>
    <definedName name="prevWBS" localSheetId="0">GanttChart!$A1048576</definedName>
    <definedName name="_xlnm.Print_Area" localSheetId="0">GanttChart!$A$1:$BN$59</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5" i="9" l="1"/>
  <c r="H56" i="9"/>
  <c r="H57" i="9"/>
  <c r="F55" i="9"/>
  <c r="F56" i="9"/>
  <c r="F57" i="9"/>
  <c r="H54" i="9"/>
  <c r="F54" i="9"/>
  <c r="F60" i="9"/>
  <c r="H61" i="9"/>
  <c r="F61" i="9"/>
  <c r="H60" i="9"/>
  <c r="H59" i="9"/>
  <c r="F59" i="9"/>
  <c r="H15" i="9"/>
  <c r="H16" i="9"/>
  <c r="H17" i="9"/>
  <c r="H18" i="9"/>
  <c r="H20" i="9"/>
  <c r="H11" i="9"/>
  <c r="H12" i="9"/>
  <c r="H14" i="9"/>
  <c r="H22" i="9"/>
  <c r="H23" i="9"/>
  <c r="H25" i="9"/>
  <c r="H26" i="9"/>
  <c r="H28" i="9"/>
  <c r="H30" i="9"/>
  <c r="H31" i="9"/>
  <c r="H32" i="9"/>
  <c r="H33" i="9"/>
  <c r="H35" i="9"/>
  <c r="H36" i="9"/>
  <c r="H37" i="9"/>
  <c r="H38" i="9"/>
  <c r="H39" i="9"/>
  <c r="H40" i="9"/>
  <c r="H41" i="9"/>
  <c r="H42" i="9"/>
  <c r="H44" i="9"/>
  <c r="H45" i="9"/>
  <c r="H46" i="9"/>
  <c r="H47" i="9"/>
  <c r="H49" i="9"/>
  <c r="H50" i="9"/>
  <c r="H51" i="9"/>
  <c r="H52" i="9"/>
  <c r="F18" i="9"/>
  <c r="F16" i="9"/>
  <c r="F17" i="9"/>
  <c r="F35" i="9"/>
  <c r="F36" i="9"/>
  <c r="F37" i="9"/>
  <c r="F38" i="9"/>
  <c r="H9" i="9"/>
  <c r="F30" i="9" l="1"/>
  <c r="F31" i="9"/>
  <c r="F32" i="9"/>
  <c r="F33" i="9"/>
  <c r="F20" i="9"/>
  <c r="F49" i="9"/>
  <c r="F50" i="9"/>
  <c r="F51" i="9"/>
  <c r="F52" i="9"/>
  <c r="F28" i="9"/>
  <c r="F26" i="9"/>
  <c r="F25" i="9"/>
  <c r="F11" i="9"/>
  <c r="F12" i="9"/>
  <c r="A70" i="9"/>
  <c r="F66" i="9" l="1"/>
  <c r="F67" i="9" s="1"/>
  <c r="I67" i="9" s="1"/>
  <c r="F65" i="9"/>
  <c r="I65" i="9" s="1"/>
  <c r="F68" i="9" l="1"/>
  <c r="I68" i="9" s="1"/>
  <c r="I66" i="9"/>
  <c r="F9" i="9" l="1"/>
  <c r="K6" i="9"/>
  <c r="K7" i="9" l="1"/>
  <c r="K4" i="9"/>
  <c r="A8" i="9"/>
  <c r="A9" i="9" s="1"/>
  <c r="A10" i="9" s="1"/>
  <c r="A11" i="9" s="1"/>
  <c r="A12" i="9" s="1"/>
  <c r="A13" i="9" s="1"/>
  <c r="A14" i="9" s="1"/>
  <c r="A15" i="9" s="1"/>
  <c r="A65" i="9"/>
  <c r="A66" i="9" s="1"/>
  <c r="A67" i="9" s="1"/>
  <c r="A16" i="9" l="1"/>
  <c r="A17" i="9" s="1"/>
  <c r="A18" i="9" s="1"/>
  <c r="A19" i="9" s="1"/>
  <c r="A20" i="9" s="1"/>
  <c r="A68" i="9"/>
  <c r="A69" i="9" s="1"/>
  <c r="F14" i="9"/>
  <c r="F15" i="9" l="1"/>
  <c r="L6" i="9" l="1"/>
  <c r="F23" i="9" l="1"/>
  <c r="F22" i="9"/>
  <c r="F39" i="9"/>
  <c r="F45" i="9"/>
  <c r="F44" i="9"/>
  <c r="M6" i="9"/>
  <c r="F40" i="9"/>
  <c r="F46" i="9" l="1"/>
  <c r="N6" i="9"/>
  <c r="F47" i="9" l="1"/>
  <c r="F41" i="9"/>
  <c r="O6" i="9"/>
  <c r="K5" i="9"/>
  <c r="F42" i="9" l="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21" i="9" l="1"/>
  <c r="A22" i="9" s="1"/>
  <c r="A23" i="9" s="1"/>
  <c r="A24" i="9" l="1"/>
  <c r="A25" i="9" s="1"/>
  <c r="A26" i="9" s="1"/>
  <c r="A27" i="9" l="1"/>
  <c r="A28" i="9" l="1"/>
  <c r="A29" i="9" s="1"/>
  <c r="A30" i="9" s="1"/>
  <c r="A31" i="9" l="1"/>
  <c r="A32" i="9" s="1"/>
  <c r="A33" i="9" s="1"/>
  <c r="A34" i="9" s="1"/>
  <c r="A35" i="9" l="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<sst xmlns="http://schemas.openxmlformats.org/spreadsheetml/2006/main" count="87" uniqueCount="77">
  <si>
    <t>WBS</t>
  </si>
  <si>
    <t>TEMPLATE ROWS</t>
  </si>
  <si>
    <t>See the Help worksheet to learn how to use these rows. You can hide these rows before printing.</t>
  </si>
  <si>
    <t xml:space="preserve"> . [ Level 2 Task ]</t>
  </si>
  <si>
    <t xml:space="preserve"> . . [ Level 3 Task ]</t>
  </si>
  <si>
    <t xml:space="preserve"> . . . [ Level 4 Task ]</t>
  </si>
  <si>
    <t>TASK</t>
  </si>
  <si>
    <t>LEAD</t>
  </si>
  <si>
    <t>START</t>
  </si>
  <si>
    <t>END</t>
  </si>
  <si>
    <t>DAYS</t>
  </si>
  <si>
    <t>% DONE</t>
  </si>
  <si>
    <t>WORK DAYS</t>
  </si>
  <si>
    <t>PREDECESSOR</t>
  </si>
  <si>
    <t xml:space="preserve">Display Week </t>
  </si>
  <si>
    <t xml:space="preserve">Project Start Date </t>
  </si>
  <si>
    <t>[ Level 1 Task or Phase ]</t>
  </si>
  <si>
    <t>Akash</t>
  </si>
  <si>
    <t>Vital link</t>
  </si>
  <si>
    <t>Research and talk people in industry to better understand how our product
can best help them help patients.</t>
  </si>
  <si>
    <t>Derived Metrics Dashboard:
Real-time visualization of "3-5" sensors (bobs request)</t>
  </si>
  <si>
    <t>Node Management Interface</t>
  </si>
  <si>
    <t>Upload mode</t>
  </si>
  <si>
    <t>Derive usable metrics</t>
  </si>
  <si>
    <t>Node firmware/sensors</t>
  </si>
  <si>
    <t>Accept basic connection</t>
  </si>
  <si>
    <t>Tx data continously</t>
  </si>
  <si>
    <t>Tx data with proper ID system</t>
  </si>
  <si>
    <t>Mechanical design( ensure signals can be properly measured)</t>
  </si>
  <si>
    <t>Design and think about Ideal form-factors for sensors</t>
  </si>
  <si>
    <t>Temperature(Side of the Chest (High accuracy for medical-grade))</t>
  </si>
  <si>
    <t>PPG(underside of wrist)</t>
  </si>
  <si>
    <t>ECG(chest) - with 3 electrodes</t>
  </si>
  <si>
    <t>Hardware tasks</t>
  </si>
  <si>
    <t>Initiate basic connection to node</t>
  </si>
  <si>
    <t>Rx data continuously</t>
  </si>
  <si>
    <t>Test 2: Advanced functionality</t>
  </si>
  <si>
    <t>Real time Rx from 3+ nodes, with continuous graphs on all 3-10 nodes</t>
  </si>
  <si>
    <t>Test 3: Data Export</t>
  </si>
  <si>
    <t>Jishiv</t>
  </si>
  <si>
    <t>Parry</t>
  </si>
  <si>
    <t>Ryan</t>
  </si>
  <si>
    <t xml:space="preserve">Design and implement
Adjust settings/behaviour on nodes
</t>
  </si>
  <si>
    <t>Poster</t>
  </si>
  <si>
    <t>Practice presentation</t>
  </si>
  <si>
    <t>Final documentation of project</t>
  </si>
  <si>
    <t>everyone</t>
  </si>
  <si>
    <t xml:space="preserve">    Enable, disable, connect, disconnect, battery life</t>
  </si>
  <si>
    <t>Networking tasks</t>
  </si>
  <si>
    <t>HUB/GUI ( turn data into actionable feedback)</t>
  </si>
  <si>
    <t>BLE course</t>
  </si>
  <si>
    <t xml:space="preserve">    Options to change behaviour of sensors. 
        sampling rate, filtering, additional behaviour of sensors, alert thresh-holds</t>
  </si>
  <si>
    <t xml:space="preserve">    upload data from sensors onto hub</t>
  </si>
  <si>
    <t xml:space="preserve">    Derive heart-rate from PPG signals</t>
  </si>
  <si>
    <t xml:space="preserve">    Derive heart-rate from ECG signals</t>
  </si>
  <si>
    <t xml:space="preserve">    Calculate respiratory rate from ECG</t>
  </si>
  <si>
    <t xml:space="preserve">    Estimate blood pressure from ECG+PPG timing (trend-based).</t>
  </si>
  <si>
    <t xml:space="preserve">        add/remove nodes</t>
  </si>
  <si>
    <t xml:space="preserve">        change samplingRates</t>
  </si>
  <si>
    <t xml:space="preserve">        ect behaviours depending on sensors</t>
  </si>
  <si>
    <t xml:space="preserve">    Have the ability to upload data throughout the day on a set of sensors.</t>
  </si>
  <si>
    <t>Test 1 Basic functionality - send 1KHz sin wave to hub</t>
  </si>
  <si>
    <t>Code temperature sensor</t>
  </si>
  <si>
    <t>Code PPG sensor</t>
  </si>
  <si>
    <t>Code ECG sensor</t>
  </si>
  <si>
    <t>Temperature sensor PCB</t>
  </si>
  <si>
    <t>PPG sensor PCB</t>
  </si>
  <si>
    <t>d</t>
  </si>
  <si>
    <t>1 Lead ECG PCB</t>
  </si>
  <si>
    <t>Node PCB</t>
  </si>
  <si>
    <t>Test sensors</t>
  </si>
  <si>
    <t>Documentation, and Presentation</t>
  </si>
  <si>
    <t xml:space="preserve">    Collect data spanning several days and interpolating results from it</t>
  </si>
  <si>
    <t xml:space="preserve">    Test vital signs in varying conditions such as movement, 
    and varying external environments</t>
  </si>
  <si>
    <t xml:space="preserve">   Compare ECG, Respiratory rate, and Temperature with reference to 
    medical grade equipment</t>
  </si>
  <si>
    <t>Testing</t>
  </si>
  <si>
    <t>Nordic SDK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</si>
</sst>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7" x14ac:knownFonts="1">
    <font>
      <sz val="10"/>
      <name val="Arial"/>
    </font>
    <font>
      <sz val="10"/>
      <name val="Arial"/>
      <family val="2"/>
    </font>
    <font>
      <u/>
      <sz val="10"/>
      <color indexed="12"/>
      <name val="Arial"/>
      <family val="2"/>
    </font>
    <font>
      <sz val="8"/>
      <name val="Arial"/>
      <family val="2"/>
    </font>
    <font>
      <sz val="10"/>
      <name val="Arial"/>
      <family val="2"/>
    </font>
    <font>
      <b/>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b/>
      <sz val="11"/>
      <color rgb="FF000000"/>
      <name val="Arial"/>
      <family val="2"/>
      <scheme val="minor"/>
    </font>
    <font>
      <i/>
      <sz val="8"/>
      <color theme="1" tint="0.34998626667073579"/>
      <name val="Arial"/>
      <family val="2"/>
    </font>
    <font>
      <b/>
      <sz val="9"/>
      <name val="Arial"/>
      <family val="2"/>
      <scheme val="minor"/>
    </font>
    <font>
      <b/>
      <sz val="9"/>
      <color rgb="FF000000"/>
      <name val="Arial"/>
      <family val="2"/>
      <scheme val="minor"/>
    </font>
    <font>
      <b/>
      <sz val="16"/>
      <color theme="4" tint="-0.249977111117893"/>
      <name val="Arial"/>
      <family val="2"/>
      <scheme val="major"/>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rgb="FF00B05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right/>
      <top style="thin">
        <color indexed="22"/>
      </top>
      <bottom/>
      <diagonal/>
    </border>
  </borders>
  <cellStyleXfs count="44">
    <xf numFmtId="0" fontId="0" fillId="0" borderId="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16" borderId="0" applyNumberFormat="0" applyBorder="0" applyAlignment="0" applyProtection="0"/>
    <xf numFmtId="0" fontId="9" fillId="17" borderId="1" applyNumberFormat="0" applyAlignment="0" applyProtection="0"/>
    <xf numFmtId="0" fontId="10" fillId="18" borderId="2" applyNumberFormat="0" applyAlignment="0" applyProtection="0"/>
    <xf numFmtId="0" fontId="11" fillId="0" borderId="0" applyNumberFormat="0" applyFill="0" applyBorder="0" applyAlignment="0" applyProtection="0"/>
    <xf numFmtId="0" fontId="12" fillId="19"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2" fillId="0" borderId="0" applyNumberFormat="0" applyFill="0" applyBorder="0" applyAlignment="0" applyProtection="0">
      <alignment vertical="top"/>
      <protection locked="0"/>
    </xf>
    <xf numFmtId="0" fontId="16" fillId="11" borderId="1" applyNumberFormat="0" applyAlignment="0" applyProtection="0"/>
    <xf numFmtId="0" fontId="17" fillId="0" borderId="6" applyNumberFormat="0" applyFill="0" applyAlignment="0" applyProtection="0"/>
    <xf numFmtId="0" fontId="18" fillId="5" borderId="0" applyNumberFormat="0" applyBorder="0" applyAlignment="0" applyProtection="0"/>
    <xf numFmtId="0" fontId="4" fillId="5" borderId="7" applyNumberFormat="0" applyFont="0" applyAlignment="0" applyProtection="0"/>
    <xf numFmtId="0" fontId="19" fillId="17" borderId="8" applyNumberFormat="0" applyAlignment="0" applyProtection="0"/>
    <xf numFmtId="9" fontId="1"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cellStyleXfs>
  <cellXfs count="105">
    <xf numFmtId="0" fontId="0" fillId="0" borderId="0" xfId="0"/>
    <xf numFmtId="0" fontId="0" fillId="20" borderId="0" xfId="0" applyFill="1"/>
    <xf numFmtId="0" fontId="1" fillId="0" borderId="0" xfId="0" applyFont="1"/>
    <xf numFmtId="0" fontId="2" fillId="0" borderId="0" xfId="34" applyAlignment="1" applyProtection="1">
      <alignment horizontal="left"/>
    </xf>
    <xf numFmtId="0" fontId="0" fillId="0" borderId="0" xfId="0" applyProtection="1">
      <protection locked="0"/>
    </xf>
    <xf numFmtId="0" fontId="28" fillId="0" borderId="0" xfId="0" applyFont="1"/>
    <xf numFmtId="0" fontId="29" fillId="0" borderId="0" xfId="0" applyFont="1" applyAlignment="1" applyProtection="1">
      <alignment vertical="center"/>
      <protection locked="0"/>
    </xf>
    <xf numFmtId="0" fontId="27" fillId="0" borderId="10" xfId="0" applyFont="1" applyBorder="1" applyAlignment="1">
      <alignment horizontal="left" vertical="center"/>
    </xf>
    <xf numFmtId="0" fontId="27" fillId="0" borderId="10" xfId="0" applyFont="1" applyBorder="1" applyAlignment="1">
      <alignment vertical="center"/>
    </xf>
    <xf numFmtId="1" fontId="32" fillId="25" borderId="12" xfId="0" applyNumberFormat="1" applyFont="1" applyFill="1" applyBorder="1" applyAlignment="1">
      <alignment horizontal="center" vertical="center"/>
    </xf>
    <xf numFmtId="9" fontId="32" fillId="25" borderId="12" xfId="40" applyFont="1" applyFill="1" applyBorder="1" applyAlignment="1" applyProtection="1">
      <alignment horizontal="center" vertical="center"/>
    </xf>
    <xf numFmtId="1" fontId="32" fillId="0" borderId="12" xfId="0" applyNumberFormat="1" applyFont="1" applyBorder="1" applyAlignment="1">
      <alignment horizontal="center" vertical="center"/>
    </xf>
    <xf numFmtId="0" fontId="27" fillId="0" borderId="0" xfId="0" applyFont="1" applyAlignment="1">
      <alignment vertical="center"/>
    </xf>
    <xf numFmtId="0" fontId="33" fillId="22" borderId="0" xfId="0" applyFont="1" applyFill="1" applyAlignment="1">
      <alignment vertical="center"/>
    </xf>
    <xf numFmtId="0" fontId="30" fillId="23" borderId="0" xfId="0" applyFont="1" applyFill="1" applyAlignment="1">
      <alignment vertical="center"/>
    </xf>
    <xf numFmtId="0" fontId="34" fillId="22" borderId="0" xfId="0" applyFont="1" applyFill="1" applyAlignment="1">
      <alignment vertical="center"/>
    </xf>
    <xf numFmtId="0" fontId="35" fillId="23" borderId="0" xfId="0" applyFont="1" applyFill="1" applyAlignment="1">
      <alignment vertical="center"/>
    </xf>
    <xf numFmtId="0" fontId="35" fillId="0" borderId="0" xfId="0" applyFont="1" applyAlignment="1">
      <alignment vertical="center"/>
    </xf>
    <xf numFmtId="0" fontId="32" fillId="22" borderId="0" xfId="0" applyFont="1" applyFill="1" applyAlignment="1">
      <alignment vertical="center"/>
    </xf>
    <xf numFmtId="0" fontId="27" fillId="23" borderId="0" xfId="0" applyFont="1" applyFill="1" applyAlignment="1">
      <alignment vertical="center"/>
    </xf>
    <xf numFmtId="0" fontId="32" fillId="21" borderId="11" xfId="0" applyFont="1" applyFill="1" applyBorder="1" applyAlignment="1">
      <alignment vertical="center"/>
    </xf>
    <xf numFmtId="0" fontId="32" fillId="0" borderId="12" xfId="0" quotePrefix="1" applyFont="1" applyBorder="1" applyAlignment="1">
      <alignment horizontal="center" vertical="center"/>
    </xf>
    <xf numFmtId="0" fontId="32" fillId="0" borderId="12" xfId="0" applyFont="1" applyBorder="1" applyAlignment="1">
      <alignment vertical="center"/>
    </xf>
    <xf numFmtId="0" fontId="32" fillId="0" borderId="12" xfId="0" applyFont="1" applyBorder="1" applyAlignment="1">
      <alignment horizontal="left" vertical="center"/>
    </xf>
    <xf numFmtId="166" fontId="3" fillId="0" borderId="13"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66" fontId="3" fillId="0" borderId="17" xfId="0" applyNumberFormat="1" applyFont="1" applyBorder="1" applyAlignment="1">
      <alignment horizontal="center" vertical="center" shrinkToFit="1"/>
    </xf>
    <xf numFmtId="1" fontId="38" fillId="0" borderId="12" xfId="0" applyNumberFormat="1" applyFont="1" applyBorder="1" applyAlignment="1">
      <alignment horizontal="center" vertical="center"/>
    </xf>
    <xf numFmtId="0" fontId="37" fillId="23" borderId="0" xfId="0" applyFont="1" applyFill="1" applyAlignment="1">
      <alignment vertical="center"/>
    </xf>
    <xf numFmtId="165" fontId="32" fillId="24" borderId="12" xfId="0" applyNumberFormat="1" applyFont="1" applyFill="1" applyBorder="1" applyAlignment="1">
      <alignment horizontal="center" vertical="center"/>
    </xf>
    <xf numFmtId="165" fontId="32" fillId="0" borderId="12" xfId="0" applyNumberFormat="1" applyFont="1" applyBorder="1" applyAlignment="1">
      <alignment horizontal="center" vertical="center"/>
    </xf>
    <xf numFmtId="0" fontId="34" fillId="22" borderId="0" xfId="0" applyFont="1" applyFill="1" applyAlignment="1">
      <alignment horizontal="center" vertical="center"/>
    </xf>
    <xf numFmtId="0" fontId="27" fillId="23" borderId="0" xfId="0" applyFont="1" applyFill="1" applyAlignment="1">
      <alignment horizontal="center" vertical="center"/>
    </xf>
    <xf numFmtId="9" fontId="27" fillId="0" borderId="10" xfId="0" applyNumberFormat="1" applyFont="1" applyBorder="1" applyAlignment="1">
      <alignment horizontal="left" vertical="center"/>
    </xf>
    <xf numFmtId="0" fontId="39" fillId="0" borderId="0" xfId="0" applyFont="1"/>
    <xf numFmtId="0" fontId="39" fillId="0" borderId="0" xfId="0" applyFont="1" applyAlignment="1">
      <alignment horizontal="right" vertical="center"/>
    </xf>
    <xf numFmtId="0" fontId="40" fillId="0" borderId="18" xfId="0" applyFont="1" applyBorder="1" applyAlignment="1">
      <alignment horizontal="center" vertical="center" wrapText="1"/>
    </xf>
    <xf numFmtId="0" fontId="27" fillId="0" borderId="19" xfId="0" applyFont="1" applyBorder="1" applyAlignment="1">
      <alignment horizontal="center" vertical="center" shrinkToFit="1"/>
    </xf>
    <xf numFmtId="0" fontId="27" fillId="0" borderId="20" xfId="0" applyFont="1" applyBorder="1" applyAlignment="1">
      <alignment horizontal="center" vertical="center" shrinkToFit="1"/>
    </xf>
    <xf numFmtId="0" fontId="27" fillId="0" borderId="21" xfId="0" applyFont="1" applyBorder="1" applyAlignment="1">
      <alignment horizontal="center" vertical="center" shrinkToFit="1"/>
    </xf>
    <xf numFmtId="0" fontId="30" fillId="0" borderId="22" xfId="0" applyFont="1" applyBorder="1" applyAlignment="1" applyProtection="1">
      <alignment horizontal="center" vertical="center"/>
      <protection locked="0"/>
    </xf>
    <xf numFmtId="0" fontId="31" fillId="0" borderId="10" xfId="0" applyFont="1" applyBorder="1" applyAlignment="1">
      <alignment horizontal="left" vertical="center"/>
    </xf>
    <xf numFmtId="0" fontId="42" fillId="21" borderId="11" xfId="0" applyFont="1" applyFill="1" applyBorder="1" applyAlignment="1">
      <alignment vertical="center"/>
    </xf>
    <xf numFmtId="0" fontId="2" fillId="0" borderId="0" xfId="34" applyNumberFormat="1" applyFill="1" applyBorder="1" applyAlignment="1" applyProtection="1"/>
    <xf numFmtId="0" fontId="32" fillId="0" borderId="0" xfId="0" applyFont="1" applyAlignment="1">
      <alignment vertical="center"/>
    </xf>
    <xf numFmtId="0" fontId="32" fillId="0" borderId="0" xfId="0" quotePrefix="1" applyFont="1" applyAlignment="1">
      <alignment horizontal="center" vertical="center"/>
    </xf>
    <xf numFmtId="165" fontId="32" fillId="24" borderId="0" xfId="0" applyNumberFormat="1" applyFont="1" applyFill="1" applyAlignment="1">
      <alignment horizontal="center" vertical="center"/>
    </xf>
    <xf numFmtId="165" fontId="32" fillId="0" borderId="0" xfId="0" applyNumberFormat="1" applyFont="1" applyAlignment="1">
      <alignment horizontal="center" vertical="center"/>
    </xf>
    <xf numFmtId="1" fontId="32" fillId="25" borderId="0" xfId="0" applyNumberFormat="1" applyFont="1" applyFill="1" applyAlignment="1">
      <alignment horizontal="center" vertical="center"/>
    </xf>
    <xf numFmtId="9" fontId="32" fillId="25" borderId="0" xfId="40" applyFont="1" applyFill="1" applyBorder="1" applyAlignment="1" applyProtection="1">
      <alignment horizontal="center" vertical="center"/>
    </xf>
    <xf numFmtId="1" fontId="32" fillId="0" borderId="0" xfId="0" applyNumberFormat="1" applyFont="1" applyAlignment="1">
      <alignment horizontal="center" vertical="center"/>
    </xf>
    <xf numFmtId="1" fontId="38" fillId="0" borderId="0" xfId="0" applyNumberFormat="1" applyFont="1" applyAlignment="1">
      <alignment horizontal="center" vertical="center"/>
    </xf>
    <xf numFmtId="0" fontId="27" fillId="0" borderId="0" xfId="0" applyFont="1" applyAlignment="1">
      <alignment horizontal="left" vertical="center"/>
    </xf>
    <xf numFmtId="1" fontId="37" fillId="0" borderId="0" xfId="0" applyNumberFormat="1" applyFont="1" applyAlignment="1">
      <alignment horizontal="center" vertical="center"/>
    </xf>
    <xf numFmtId="0" fontId="0" fillId="0" borderId="0" xfId="0" applyAlignment="1">
      <alignment horizontal="right" vertical="center"/>
    </xf>
    <xf numFmtId="0" fontId="40" fillId="0" borderId="23" xfId="0" applyFont="1" applyBorder="1" applyAlignment="1">
      <alignment horizontal="left" vertical="center"/>
    </xf>
    <xf numFmtId="0" fontId="40" fillId="0" borderId="23" xfId="0" applyFont="1" applyBorder="1" applyAlignment="1">
      <alignment horizontal="center" vertical="center" wrapText="1"/>
    </xf>
    <xf numFmtId="0" fontId="41" fillId="0" borderId="23" xfId="0" applyFont="1" applyBorder="1" applyAlignment="1">
      <alignment horizontal="center" vertical="center" wrapText="1"/>
    </xf>
    <xf numFmtId="0" fontId="40" fillId="0" borderId="23" xfId="0" applyFont="1" applyBorder="1" applyAlignment="1">
      <alignment horizontal="center" vertical="center"/>
    </xf>
    <xf numFmtId="0" fontId="27" fillId="0" borderId="23" xfId="0" applyFont="1" applyBorder="1" applyAlignment="1">
      <alignment horizontal="left" vertical="center"/>
    </xf>
    <xf numFmtId="0" fontId="0" fillId="0" borderId="23" xfId="0" applyBorder="1"/>
    <xf numFmtId="0" fontId="27" fillId="0" borderId="23" xfId="0" applyFont="1" applyBorder="1" applyAlignment="1">
      <alignment vertical="center"/>
    </xf>
    <xf numFmtId="0" fontId="32" fillId="0" borderId="23" xfId="0" applyFont="1" applyBorder="1" applyAlignment="1">
      <alignment horizontal="center" vertical="center"/>
    </xf>
    <xf numFmtId="165" fontId="32" fillId="24" borderId="23" xfId="0" applyNumberFormat="1" applyFont="1" applyFill="1" applyBorder="1" applyAlignment="1">
      <alignment horizontal="center" vertical="center"/>
    </xf>
    <xf numFmtId="165" fontId="32" fillId="0" borderId="23" xfId="0" applyNumberFormat="1" applyFont="1" applyBorder="1" applyAlignment="1">
      <alignment horizontal="center" vertical="center"/>
    </xf>
    <xf numFmtId="1" fontId="32" fillId="25" borderId="23" xfId="0" applyNumberFormat="1" applyFont="1" applyFill="1" applyBorder="1" applyAlignment="1">
      <alignment horizontal="center" vertical="center"/>
    </xf>
    <xf numFmtId="9" fontId="32" fillId="25" borderId="23" xfId="40" applyFont="1" applyFill="1" applyBorder="1" applyAlignment="1">
      <alignment horizontal="center" vertical="center"/>
    </xf>
    <xf numFmtId="1" fontId="32" fillId="0" borderId="23" xfId="0" applyNumberFormat="1" applyFont="1" applyBorder="1" applyAlignment="1">
      <alignment horizontal="center" vertical="center"/>
    </xf>
    <xf numFmtId="0" fontId="5" fillId="0" borderId="23" xfId="0" applyFont="1" applyBorder="1"/>
    <xf numFmtId="0" fontId="32" fillId="0" borderId="23" xfId="0" applyFont="1" applyBorder="1" applyAlignment="1">
      <alignment horizontal="left" vertical="center"/>
    </xf>
    <xf numFmtId="0" fontId="27" fillId="0" borderId="23" xfId="0" applyFont="1" applyBorder="1" applyAlignment="1">
      <alignment horizontal="left" vertical="center" wrapText="1" indent="1"/>
    </xf>
    <xf numFmtId="0" fontId="45" fillId="0" borderId="23" xfId="0" applyFont="1" applyBorder="1" applyAlignment="1">
      <alignment vertical="center"/>
    </xf>
    <xf numFmtId="0" fontId="27" fillId="0" borderId="23" xfId="0" applyFont="1" applyBorder="1" applyAlignment="1">
      <alignment vertical="center" wrapText="1"/>
    </xf>
    <xf numFmtId="0" fontId="44" fillId="0" borderId="23" xfId="0" applyFont="1" applyBorder="1" applyAlignment="1">
      <alignment vertical="center" wrapText="1"/>
    </xf>
    <xf numFmtId="0" fontId="27" fillId="0" borderId="23" xfId="0" applyFont="1" applyBorder="1" applyAlignment="1">
      <alignment horizontal="center" vertical="center"/>
    </xf>
    <xf numFmtId="0" fontId="31" fillId="26" borderId="23" xfId="0" applyFont="1" applyFill="1" applyBorder="1" applyAlignment="1">
      <alignment horizontal="left" vertical="center"/>
    </xf>
    <xf numFmtId="0" fontId="44" fillId="26" borderId="23" xfId="0" applyFont="1" applyFill="1" applyBorder="1" applyAlignment="1">
      <alignment vertical="center"/>
    </xf>
    <xf numFmtId="165" fontId="27" fillId="26" borderId="23" xfId="0" applyNumberFormat="1" applyFont="1" applyFill="1" applyBorder="1" applyAlignment="1">
      <alignment horizontal="center" vertical="center"/>
    </xf>
    <xf numFmtId="1" fontId="27" fillId="26" borderId="23" xfId="40" applyNumberFormat="1" applyFont="1" applyFill="1" applyBorder="1" applyAlignment="1" applyProtection="1">
      <alignment horizontal="center" vertical="center"/>
    </xf>
    <xf numFmtId="9" fontId="27" fillId="26" borderId="23" xfId="40" applyFont="1" applyFill="1" applyBorder="1" applyAlignment="1">
      <alignment horizontal="center" vertical="center"/>
    </xf>
    <xf numFmtId="1" fontId="27" fillId="26" borderId="23" xfId="0" applyNumberFormat="1" applyFont="1" applyFill="1" applyBorder="1" applyAlignment="1">
      <alignment horizontal="center" vertical="center"/>
    </xf>
    <xf numFmtId="1" fontId="37" fillId="26" borderId="10" xfId="0" applyNumberFormat="1" applyFont="1" applyFill="1" applyBorder="1" applyAlignment="1">
      <alignment horizontal="center" vertical="center"/>
    </xf>
    <xf numFmtId="0" fontId="27" fillId="26" borderId="10" xfId="0" applyFont="1" applyFill="1" applyBorder="1" applyAlignment="1">
      <alignment horizontal="left" vertical="center"/>
    </xf>
    <xf numFmtId="0" fontId="27" fillId="26" borderId="10" xfId="0" applyFont="1" applyFill="1" applyBorder="1" applyAlignment="1">
      <alignment vertical="center"/>
    </xf>
    <xf numFmtId="165" fontId="27" fillId="26" borderId="23" xfId="0" applyNumberFormat="1" applyFont="1" applyFill="1" applyBorder="1" applyAlignment="1">
      <alignment horizontal="right" vertical="center"/>
    </xf>
    <xf numFmtId="1" fontId="37" fillId="26" borderId="14" xfId="0" applyNumberFormat="1" applyFont="1" applyFill="1" applyBorder="1" applyAlignment="1">
      <alignment horizontal="center" vertical="center"/>
    </xf>
    <xf numFmtId="0" fontId="27" fillId="26" borderId="14" xfId="0" applyFont="1" applyFill="1" applyBorder="1" applyAlignment="1">
      <alignment horizontal="left" vertical="center"/>
    </xf>
    <xf numFmtId="1" fontId="27" fillId="26" borderId="23" xfId="40" applyNumberFormat="1" applyFont="1" applyFill="1" applyBorder="1" applyAlignment="1">
      <alignment horizontal="center" vertical="center"/>
    </xf>
    <xf numFmtId="1" fontId="38" fillId="26" borderId="0" xfId="0" applyNumberFormat="1" applyFont="1" applyFill="1" applyAlignment="1">
      <alignment horizontal="center" vertical="center"/>
    </xf>
    <xf numFmtId="0" fontId="27" fillId="26" borderId="0" xfId="0" applyFont="1" applyFill="1" applyAlignment="1">
      <alignment vertical="center"/>
    </xf>
    <xf numFmtId="0" fontId="44" fillId="26" borderId="23" xfId="0" applyFont="1" applyFill="1" applyBorder="1" applyAlignment="1">
      <alignment horizontal="center" vertical="center"/>
    </xf>
    <xf numFmtId="0" fontId="27" fillId="0" borderId="14" xfId="0" applyFont="1" applyBorder="1" applyAlignment="1">
      <alignment horizontal="left" vertical="center"/>
    </xf>
    <xf numFmtId="0" fontId="27" fillId="0" borderId="24" xfId="0" applyFont="1" applyBorder="1" applyAlignment="1">
      <alignment horizontal="left" vertical="center"/>
    </xf>
    <xf numFmtId="0" fontId="32" fillId="0" borderId="23" xfId="0" applyFont="1" applyBorder="1" applyAlignment="1">
      <alignment horizontal="left" vertical="center" wrapText="1"/>
    </xf>
    <xf numFmtId="0" fontId="46" fillId="0" borderId="0" xfId="0" applyFont="1" applyAlignment="1" applyProtection="1">
      <alignment vertical="center"/>
      <protection locked="0"/>
    </xf>
    <xf numFmtId="0" fontId="1" fillId="0" borderId="23" xfId="0" applyFont="1" applyBorder="1"/>
    <xf numFmtId="0" fontId="43" fillId="0" borderId="0" xfId="34" applyFont="1" applyAlignment="1" applyProtection="1">
      <alignment horizontal="left" vertical="center"/>
    </xf>
    <xf numFmtId="164" fontId="30" fillId="0" borderId="15" xfId="0" applyNumberFormat="1" applyFont="1" applyBorder="1" applyAlignment="1" applyProtection="1">
      <alignment horizontal="center" vertical="center" shrinkToFit="1"/>
      <protection locked="0"/>
    </xf>
    <xf numFmtId="0" fontId="36" fillId="0" borderId="16" xfId="0" applyFont="1" applyBorder="1" applyAlignment="1">
      <alignment horizontal="center" vertical="center"/>
    </xf>
    <xf numFmtId="0" fontId="36" fillId="0" borderId="13" xfId="0" applyFont="1" applyBorder="1" applyAlignment="1">
      <alignment horizontal="center" vertical="center"/>
    </xf>
    <xf numFmtId="0" fontId="36" fillId="0" borderId="17" xfId="0" applyFont="1" applyBorder="1" applyAlignment="1">
      <alignment horizontal="center" vertical="center"/>
    </xf>
    <xf numFmtId="164" fontId="30" fillId="0" borderId="22" xfId="0" applyNumberFormat="1" applyFont="1" applyBorder="1" applyAlignment="1" applyProtection="1">
      <alignment horizontal="center" vertical="center" shrinkToFit="1"/>
      <protection locked="0"/>
    </xf>
    <xf numFmtId="167" fontId="30" fillId="0" borderId="16" xfId="0" applyNumberFormat="1" applyFont="1" applyBorder="1" applyAlignment="1">
      <alignment horizontal="center" vertical="center"/>
    </xf>
    <xf numFmtId="167" fontId="30" fillId="0" borderId="13" xfId="0" applyNumberFormat="1" applyFont="1" applyBorder="1" applyAlignment="1">
      <alignment horizontal="center" vertical="center"/>
    </xf>
    <xf numFmtId="167" fontId="30" fillId="0" borderId="17"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22">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22" fmlaLink="$H$4" horiz="1" max="100" min="1" page="0" val="17"/>
</file>

<file path=xl/drawings/drawing1.xml><?xml version="1.0" encoding="utf-8"?>
<xdr:wsDr xmlns:xdr="http://schemas.openxmlformats.org/drawingml/2006/spreadsheetDrawing" xmlns:a="http://schemas.openxmlformats.org/drawingml/2006/main">
  <xdr:twoCellAnchor editAs="absolute">
    <xdr:from>
      <xdr:col>1</xdr:col>
      <xdr:colOff>4142</xdr:colOff>
      <xdr:row>5</xdr:row>
      <xdr:rowOff>142875</xdr:rowOff>
    </xdr:from>
    <xdr:to>
      <xdr:col>1</xdr:col>
      <xdr:colOff>3651266</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152400</xdr:colOff>
          <xdr:row>1</xdr:row>
          <xdr:rowOff>85725</xdr:rowOff>
        </xdr:from>
        <xdr:to>
          <xdr:col>28</xdr:col>
          <xdr:colOff>114300</xdr:colOff>
          <xdr:row>2</xdr:row>
          <xdr:rowOff>76200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147"/>
  <sheetViews>
    <sheetView showGridLines="0" tabSelected="1" zoomScale="90" zoomScaleNormal="100" workbookViewId="0">
      <pane ySplit="7" topLeftCell="A8" activePane="bottomLeft" state="frozen"/>
      <selection pane="bottomLeft" activeCell="W52" sqref="W52"/>
      <extLst>
        <ext xmlns:xlsdti="http://schemas.microsoft.com/office/spreadsheetml/2023/showDataTypeIcons" uri="{77bfe23e-c014-4d31-8a63-9c772dbf06b6}">
          <xlsdti:showDataTypeIcons visible="0"/>
        </ext>
      </extLst>
    </sheetView>
  </sheetViews>
  <sheetFormatPr defaultColWidth="9.140625" defaultRowHeight="12.75" x14ac:dyDescent="0.2"/>
  <cols>
    <col min="1" max="1" width="6.85546875" customWidth="1"/>
    <col min="2" max="2" width="64.140625" bestFit="1" customWidth="1"/>
    <col min="3" max="3" width="10.85546875" bestFit="1" customWidth="1"/>
    <col min="4" max="4" width="17.42578125" customWidth="1"/>
    <col min="5" max="5" width="12" customWidth="1"/>
    <col min="6" max="6" width="13.5703125" customWidth="1"/>
    <col min="7" max="7" width="8.42578125" customWidth="1"/>
    <col min="8" max="8" width="8.140625" hidden="1" customWidth="1"/>
    <col min="9" max="9" width="8.85546875" hidden="1" customWidth="1"/>
    <col min="10" max="10" width="1.85546875" customWidth="1"/>
    <col min="11" max="66" width="2.42578125" customWidth="1"/>
  </cols>
  <sheetData>
    <row r="1" spans="1:66" ht="30" customHeight="1" x14ac:dyDescent="0.2">
      <c r="A1" s="94" t="s">
        <v>18</v>
      </c>
      <c r="B1" s="35" t="s">
        <v>15</v>
      </c>
      <c r="C1" s="101">
        <v>45978</v>
      </c>
      <c r="D1" s="101"/>
      <c r="E1" s="101"/>
      <c r="F1" s="34"/>
      <c r="G1" s="35" t="s">
        <v>14</v>
      </c>
      <c r="I1" s="54"/>
      <c r="K1" s="96"/>
      <c r="L1" s="96"/>
      <c r="M1" s="96"/>
      <c r="N1" s="96"/>
      <c r="O1" s="96"/>
      <c r="P1" s="96"/>
      <c r="Q1" s="96"/>
      <c r="R1" s="96"/>
      <c r="S1" s="96"/>
      <c r="T1" s="96"/>
      <c r="U1" s="96"/>
      <c r="V1" s="96"/>
      <c r="W1" s="96"/>
      <c r="X1" s="96"/>
      <c r="Y1" s="96"/>
      <c r="Z1" s="96"/>
      <c r="AA1" s="96"/>
      <c r="AB1" s="96"/>
      <c r="AC1" s="96"/>
      <c r="AD1" s="96"/>
      <c r="AE1" s="96"/>
    </row>
    <row r="2" spans="1:66" ht="18" customHeight="1" x14ac:dyDescent="0.2">
      <c r="A2" s="6"/>
      <c r="B2" s="35"/>
      <c r="C2" s="97"/>
      <c r="D2" s="97"/>
      <c r="E2" s="97"/>
      <c r="F2" s="34"/>
      <c r="G2" s="34"/>
      <c r="H2" s="1"/>
    </row>
    <row r="3" spans="1:66" ht="14.25" x14ac:dyDescent="0.2">
      <c r="A3" s="6"/>
      <c r="B3" s="5"/>
      <c r="C3" s="5"/>
      <c r="D3" s="5"/>
      <c r="E3" s="5"/>
      <c r="F3" s="5"/>
      <c r="G3" s="5"/>
      <c r="H3" s="1"/>
      <c r="K3" s="3"/>
      <c r="L3" s="3"/>
      <c r="M3" s="3"/>
      <c r="N3" s="3"/>
      <c r="O3" s="3"/>
      <c r="P3" s="3"/>
      <c r="Q3" s="3"/>
      <c r="R3" s="3"/>
      <c r="S3" s="3"/>
      <c r="T3" s="3"/>
      <c r="U3" s="3"/>
      <c r="V3" s="3"/>
      <c r="W3" s="3"/>
      <c r="X3" s="3"/>
      <c r="Y3" s="3"/>
      <c r="Z3" s="3"/>
      <c r="AA3" s="3"/>
    </row>
    <row r="4" spans="1:66" ht="17.25" customHeight="1" x14ac:dyDescent="0.2">
      <c r="A4" s="34"/>
      <c r="H4" s="40">
        <v>17</v>
      </c>
      <c r="I4" s="5"/>
      <c r="K4" s="98" t="str">
        <f>"Week "&amp;(K6-($C$1-WEEKDAY($C$1,1)+2))/7+1</f>
        <v>Week 17</v>
      </c>
      <c r="L4" s="99"/>
      <c r="M4" s="99"/>
      <c r="N4" s="99"/>
      <c r="O4" s="99"/>
      <c r="P4" s="99"/>
      <c r="Q4" s="100"/>
      <c r="R4" s="98" t="str">
        <f>"Week "&amp;(R6-($C$1-WEEKDAY($C$1,1)+2))/7+1</f>
        <v>Week 18</v>
      </c>
      <c r="S4" s="99"/>
      <c r="T4" s="99"/>
      <c r="U4" s="99"/>
      <c r="V4" s="99"/>
      <c r="W4" s="99"/>
      <c r="X4" s="100"/>
      <c r="Y4" s="98" t="str">
        <f>"Week "&amp;(Y6-($C$1-WEEKDAY($C$1,1)+2))/7+1</f>
        <v>Week 19</v>
      </c>
      <c r="Z4" s="99"/>
      <c r="AA4" s="99"/>
      <c r="AB4" s="99"/>
      <c r="AC4" s="99"/>
      <c r="AD4" s="99"/>
      <c r="AE4" s="100"/>
      <c r="AF4" s="98" t="str">
        <f>"Week "&amp;(AF6-($C$1-WEEKDAY($C$1,1)+2))/7+1</f>
        <v>Week 20</v>
      </c>
      <c r="AG4" s="99"/>
      <c r="AH4" s="99"/>
      <c r="AI4" s="99"/>
      <c r="AJ4" s="99"/>
      <c r="AK4" s="99"/>
      <c r="AL4" s="100"/>
      <c r="AM4" s="98" t="str">
        <f>"Week "&amp;(AM6-($C$1-WEEKDAY($C$1,1)+2))/7+1</f>
        <v>Week 21</v>
      </c>
      <c r="AN4" s="99"/>
      <c r="AO4" s="99"/>
      <c r="AP4" s="99"/>
      <c r="AQ4" s="99"/>
      <c r="AR4" s="99"/>
      <c r="AS4" s="100"/>
      <c r="AT4" s="98" t="str">
        <f>"Week "&amp;(AT6-($C$1-WEEKDAY($C$1,1)+2))/7+1</f>
        <v>Week 22</v>
      </c>
      <c r="AU4" s="99"/>
      <c r="AV4" s="99"/>
      <c r="AW4" s="99"/>
      <c r="AX4" s="99"/>
      <c r="AY4" s="99"/>
      <c r="AZ4" s="100"/>
      <c r="BA4" s="98" t="str">
        <f>"Week "&amp;(BA6-($C$1-WEEKDAY($C$1,1)+2))/7+1</f>
        <v>Week 23</v>
      </c>
      <c r="BB4" s="99"/>
      <c r="BC4" s="99"/>
      <c r="BD4" s="99"/>
      <c r="BE4" s="99"/>
      <c r="BF4" s="99"/>
      <c r="BG4" s="100"/>
      <c r="BH4" s="98" t="str">
        <f>"Week "&amp;(BH6-($C$1-WEEKDAY($C$1,1)+2))/7+1</f>
        <v>Week 24</v>
      </c>
      <c r="BI4" s="99"/>
      <c r="BJ4" s="99"/>
      <c r="BK4" s="99"/>
      <c r="BL4" s="99"/>
      <c r="BM4" s="99"/>
      <c r="BN4" s="100"/>
    </row>
    <row r="5" spans="1:66" ht="17.25" customHeight="1" x14ac:dyDescent="0.2">
      <c r="A5" s="34"/>
      <c r="H5" s="34"/>
      <c r="I5" s="34"/>
      <c r="J5" s="5"/>
      <c r="K5" s="102">
        <f>K6</f>
        <v>46090</v>
      </c>
      <c r="L5" s="103"/>
      <c r="M5" s="103"/>
      <c r="N5" s="103"/>
      <c r="O5" s="103"/>
      <c r="P5" s="103"/>
      <c r="Q5" s="104"/>
      <c r="R5" s="102">
        <f>R6</f>
        <v>46097</v>
      </c>
      <c r="S5" s="103"/>
      <c r="T5" s="103"/>
      <c r="U5" s="103"/>
      <c r="V5" s="103"/>
      <c r="W5" s="103"/>
      <c r="X5" s="104"/>
      <c r="Y5" s="102">
        <f>Y6</f>
        <v>46104</v>
      </c>
      <c r="Z5" s="103"/>
      <c r="AA5" s="103"/>
      <c r="AB5" s="103"/>
      <c r="AC5" s="103"/>
      <c r="AD5" s="103"/>
      <c r="AE5" s="104"/>
      <c r="AF5" s="102">
        <f>AF6</f>
        <v>46111</v>
      </c>
      <c r="AG5" s="103"/>
      <c r="AH5" s="103"/>
      <c r="AI5" s="103"/>
      <c r="AJ5" s="103"/>
      <c r="AK5" s="103"/>
      <c r="AL5" s="104"/>
      <c r="AM5" s="102">
        <f>AM6</f>
        <v>46118</v>
      </c>
      <c r="AN5" s="103"/>
      <c r="AO5" s="103"/>
      <c r="AP5" s="103"/>
      <c r="AQ5" s="103"/>
      <c r="AR5" s="103"/>
      <c r="AS5" s="104"/>
      <c r="AT5" s="102">
        <f>AT6</f>
        <v>46125</v>
      </c>
      <c r="AU5" s="103"/>
      <c r="AV5" s="103"/>
      <c r="AW5" s="103"/>
      <c r="AX5" s="103"/>
      <c r="AY5" s="103"/>
      <c r="AZ5" s="104"/>
      <c r="BA5" s="102">
        <f>BA6</f>
        <v>46132</v>
      </c>
      <c r="BB5" s="103"/>
      <c r="BC5" s="103"/>
      <c r="BD5" s="103"/>
      <c r="BE5" s="103"/>
      <c r="BF5" s="103"/>
      <c r="BG5" s="104"/>
      <c r="BH5" s="102">
        <f>BH6</f>
        <v>46139</v>
      </c>
      <c r="BI5" s="103"/>
      <c r="BJ5" s="103"/>
      <c r="BK5" s="103"/>
      <c r="BL5" s="103"/>
      <c r="BM5" s="103"/>
      <c r="BN5" s="104"/>
    </row>
    <row r="6" spans="1:66" x14ac:dyDescent="0.2">
      <c r="A6" s="5"/>
      <c r="H6" s="5"/>
      <c r="I6" s="5"/>
      <c r="J6" s="5"/>
      <c r="K6" s="25">
        <f>C1-WEEKDAY(C1,1)+2+7*(H4-1)</f>
        <v>46090</v>
      </c>
      <c r="L6" s="24">
        <f t="shared" ref="L6:AQ6" si="0">K6+1</f>
        <v>46091</v>
      </c>
      <c r="M6" s="24">
        <f t="shared" si="0"/>
        <v>46092</v>
      </c>
      <c r="N6" s="24">
        <f t="shared" si="0"/>
        <v>46093</v>
      </c>
      <c r="O6" s="24">
        <f t="shared" si="0"/>
        <v>46094</v>
      </c>
      <c r="P6" s="24">
        <f t="shared" si="0"/>
        <v>46095</v>
      </c>
      <c r="Q6" s="26">
        <f t="shared" si="0"/>
        <v>46096</v>
      </c>
      <c r="R6" s="25">
        <f t="shared" si="0"/>
        <v>46097</v>
      </c>
      <c r="S6" s="24">
        <f t="shared" si="0"/>
        <v>46098</v>
      </c>
      <c r="T6" s="24">
        <f t="shared" si="0"/>
        <v>46099</v>
      </c>
      <c r="U6" s="24">
        <f t="shared" si="0"/>
        <v>46100</v>
      </c>
      <c r="V6" s="24">
        <f t="shared" si="0"/>
        <v>46101</v>
      </c>
      <c r="W6" s="24">
        <f t="shared" si="0"/>
        <v>46102</v>
      </c>
      <c r="X6" s="26">
        <f t="shared" si="0"/>
        <v>46103</v>
      </c>
      <c r="Y6" s="25">
        <f t="shared" si="0"/>
        <v>46104</v>
      </c>
      <c r="Z6" s="24">
        <f t="shared" si="0"/>
        <v>46105</v>
      </c>
      <c r="AA6" s="24">
        <f t="shared" si="0"/>
        <v>46106</v>
      </c>
      <c r="AB6" s="24">
        <f t="shared" si="0"/>
        <v>46107</v>
      </c>
      <c r="AC6" s="24">
        <f t="shared" si="0"/>
        <v>46108</v>
      </c>
      <c r="AD6" s="24">
        <f t="shared" si="0"/>
        <v>46109</v>
      </c>
      <c r="AE6" s="26">
        <f t="shared" si="0"/>
        <v>46110</v>
      </c>
      <c r="AF6" s="25">
        <f t="shared" si="0"/>
        <v>46111</v>
      </c>
      <c r="AG6" s="24">
        <f t="shared" si="0"/>
        <v>46112</v>
      </c>
      <c r="AH6" s="24">
        <f t="shared" si="0"/>
        <v>46113</v>
      </c>
      <c r="AI6" s="24">
        <f t="shared" si="0"/>
        <v>46114</v>
      </c>
      <c r="AJ6" s="24">
        <f t="shared" si="0"/>
        <v>46115</v>
      </c>
      <c r="AK6" s="24">
        <f t="shared" si="0"/>
        <v>46116</v>
      </c>
      <c r="AL6" s="26">
        <f t="shared" si="0"/>
        <v>46117</v>
      </c>
      <c r="AM6" s="25">
        <f t="shared" si="0"/>
        <v>46118</v>
      </c>
      <c r="AN6" s="24">
        <f t="shared" si="0"/>
        <v>46119</v>
      </c>
      <c r="AO6" s="24">
        <f t="shared" si="0"/>
        <v>46120</v>
      </c>
      <c r="AP6" s="24">
        <f t="shared" si="0"/>
        <v>46121</v>
      </c>
      <c r="AQ6" s="24">
        <f t="shared" si="0"/>
        <v>46122</v>
      </c>
      <c r="AR6" s="24">
        <f t="shared" ref="AR6:BN6" si="1">AQ6+1</f>
        <v>46123</v>
      </c>
      <c r="AS6" s="26">
        <f t="shared" si="1"/>
        <v>46124</v>
      </c>
      <c r="AT6" s="25">
        <f t="shared" si="1"/>
        <v>46125</v>
      </c>
      <c r="AU6" s="24">
        <f t="shared" si="1"/>
        <v>46126</v>
      </c>
      <c r="AV6" s="24">
        <f t="shared" si="1"/>
        <v>46127</v>
      </c>
      <c r="AW6" s="24">
        <f t="shared" si="1"/>
        <v>46128</v>
      </c>
      <c r="AX6" s="24">
        <f t="shared" si="1"/>
        <v>46129</v>
      </c>
      <c r="AY6" s="24">
        <f t="shared" si="1"/>
        <v>46130</v>
      </c>
      <c r="AZ6" s="26">
        <f t="shared" si="1"/>
        <v>46131</v>
      </c>
      <c r="BA6" s="25">
        <f t="shared" si="1"/>
        <v>46132</v>
      </c>
      <c r="BB6" s="24">
        <f t="shared" si="1"/>
        <v>46133</v>
      </c>
      <c r="BC6" s="24">
        <f t="shared" si="1"/>
        <v>46134</v>
      </c>
      <c r="BD6" s="24">
        <f t="shared" si="1"/>
        <v>46135</v>
      </c>
      <c r="BE6" s="24">
        <f t="shared" si="1"/>
        <v>46136</v>
      </c>
      <c r="BF6" s="24">
        <f t="shared" si="1"/>
        <v>46137</v>
      </c>
      <c r="BG6" s="26">
        <f t="shared" si="1"/>
        <v>46138</v>
      </c>
      <c r="BH6" s="25">
        <f t="shared" si="1"/>
        <v>46139</v>
      </c>
      <c r="BI6" s="24">
        <f t="shared" si="1"/>
        <v>46140</v>
      </c>
      <c r="BJ6" s="24">
        <f t="shared" si="1"/>
        <v>46141</v>
      </c>
      <c r="BK6" s="24">
        <f t="shared" si="1"/>
        <v>46142</v>
      </c>
      <c r="BL6" s="24">
        <f t="shared" si="1"/>
        <v>46143</v>
      </c>
      <c r="BM6" s="24">
        <f t="shared" si="1"/>
        <v>46144</v>
      </c>
      <c r="BN6" s="26">
        <f t="shared" si="1"/>
        <v>46145</v>
      </c>
    </row>
    <row r="7" spans="1:66" s="2" customFormat="1" ht="24.75" thickBot="1" x14ac:dyDescent="0.25">
      <c r="A7" s="55" t="s">
        <v>0</v>
      </c>
      <c r="B7" s="55" t="s">
        <v>6</v>
      </c>
      <c r="C7" s="56" t="s">
        <v>7</v>
      </c>
      <c r="D7" s="57" t="s">
        <v>13</v>
      </c>
      <c r="E7" s="58" t="s">
        <v>8</v>
      </c>
      <c r="F7" s="58" t="s">
        <v>9</v>
      </c>
      <c r="G7" s="56" t="s">
        <v>10</v>
      </c>
      <c r="H7" s="56" t="s">
        <v>11</v>
      </c>
      <c r="I7" s="56" t="s">
        <v>12</v>
      </c>
      <c r="J7" s="36"/>
      <c r="K7" s="37" t="str">
        <f t="shared" ref="K7:AP7" si="2">CHOOSE(WEEKDAY(K6,1),"S","M","T","W","T","F","S")</f>
        <v>M</v>
      </c>
      <c r="L7" s="38" t="str">
        <f t="shared" si="2"/>
        <v>T</v>
      </c>
      <c r="M7" s="38" t="str">
        <f t="shared" si="2"/>
        <v>W</v>
      </c>
      <c r="N7" s="38" t="str">
        <f t="shared" si="2"/>
        <v>T</v>
      </c>
      <c r="O7" s="38" t="str">
        <f t="shared" si="2"/>
        <v>F</v>
      </c>
      <c r="P7" s="38" t="str">
        <f t="shared" si="2"/>
        <v>S</v>
      </c>
      <c r="Q7" s="39" t="str">
        <f t="shared" si="2"/>
        <v>S</v>
      </c>
      <c r="R7" s="37" t="str">
        <f t="shared" si="2"/>
        <v>M</v>
      </c>
      <c r="S7" s="38" t="str">
        <f t="shared" si="2"/>
        <v>T</v>
      </c>
      <c r="T7" s="38" t="str">
        <f t="shared" si="2"/>
        <v>W</v>
      </c>
      <c r="U7" s="38" t="str">
        <f t="shared" si="2"/>
        <v>T</v>
      </c>
      <c r="V7" s="38" t="str">
        <f t="shared" si="2"/>
        <v>F</v>
      </c>
      <c r="W7" s="38" t="str">
        <f t="shared" si="2"/>
        <v>S</v>
      </c>
      <c r="X7" s="39" t="str">
        <f t="shared" si="2"/>
        <v>S</v>
      </c>
      <c r="Y7" s="37" t="str">
        <f t="shared" si="2"/>
        <v>M</v>
      </c>
      <c r="Z7" s="38" t="str">
        <f t="shared" si="2"/>
        <v>T</v>
      </c>
      <c r="AA7" s="38" t="str">
        <f t="shared" si="2"/>
        <v>W</v>
      </c>
      <c r="AB7" s="38" t="str">
        <f t="shared" si="2"/>
        <v>T</v>
      </c>
      <c r="AC7" s="38" t="str">
        <f t="shared" si="2"/>
        <v>F</v>
      </c>
      <c r="AD7" s="38" t="str">
        <f t="shared" si="2"/>
        <v>S</v>
      </c>
      <c r="AE7" s="39" t="str">
        <f t="shared" si="2"/>
        <v>S</v>
      </c>
      <c r="AF7" s="37" t="str">
        <f t="shared" si="2"/>
        <v>M</v>
      </c>
      <c r="AG7" s="38" t="str">
        <f t="shared" si="2"/>
        <v>T</v>
      </c>
      <c r="AH7" s="38" t="str">
        <f t="shared" si="2"/>
        <v>W</v>
      </c>
      <c r="AI7" s="38" t="str">
        <f t="shared" si="2"/>
        <v>T</v>
      </c>
      <c r="AJ7" s="38" t="str">
        <f t="shared" si="2"/>
        <v>F</v>
      </c>
      <c r="AK7" s="38" t="str">
        <f t="shared" si="2"/>
        <v>S</v>
      </c>
      <c r="AL7" s="39" t="str">
        <f t="shared" si="2"/>
        <v>S</v>
      </c>
      <c r="AM7" s="37" t="str">
        <f t="shared" si="2"/>
        <v>M</v>
      </c>
      <c r="AN7" s="38" t="str">
        <f t="shared" si="2"/>
        <v>T</v>
      </c>
      <c r="AO7" s="38" t="str">
        <f t="shared" si="2"/>
        <v>W</v>
      </c>
      <c r="AP7" s="38" t="str">
        <f t="shared" si="2"/>
        <v>T</v>
      </c>
      <c r="AQ7" s="38" t="str">
        <f t="shared" ref="AQ7:BN7" si="3">CHOOSE(WEEKDAY(AQ6,1),"S","M","T","W","T","F","S")</f>
        <v>F</v>
      </c>
      <c r="AR7" s="38" t="str">
        <f t="shared" si="3"/>
        <v>S</v>
      </c>
      <c r="AS7" s="39" t="str">
        <f t="shared" si="3"/>
        <v>S</v>
      </c>
      <c r="AT7" s="37" t="str">
        <f t="shared" si="3"/>
        <v>M</v>
      </c>
      <c r="AU7" s="38" t="str">
        <f t="shared" si="3"/>
        <v>T</v>
      </c>
      <c r="AV7" s="38" t="str">
        <f t="shared" si="3"/>
        <v>W</v>
      </c>
      <c r="AW7" s="38" t="str">
        <f t="shared" si="3"/>
        <v>T</v>
      </c>
      <c r="AX7" s="38" t="str">
        <f t="shared" si="3"/>
        <v>F</v>
      </c>
      <c r="AY7" s="38" t="str">
        <f t="shared" si="3"/>
        <v>S</v>
      </c>
      <c r="AZ7" s="39" t="str">
        <f t="shared" si="3"/>
        <v>S</v>
      </c>
      <c r="BA7" s="37" t="str">
        <f t="shared" si="3"/>
        <v>M</v>
      </c>
      <c r="BB7" s="38" t="str">
        <f t="shared" si="3"/>
        <v>T</v>
      </c>
      <c r="BC7" s="38" t="str">
        <f t="shared" si="3"/>
        <v>W</v>
      </c>
      <c r="BD7" s="38" t="str">
        <f t="shared" si="3"/>
        <v>T</v>
      </c>
      <c r="BE7" s="38" t="str">
        <f t="shared" si="3"/>
        <v>F</v>
      </c>
      <c r="BF7" s="38" t="str">
        <f t="shared" si="3"/>
        <v>S</v>
      </c>
      <c r="BG7" s="39" t="str">
        <f t="shared" si="3"/>
        <v>S</v>
      </c>
      <c r="BH7" s="37" t="str">
        <f t="shared" si="3"/>
        <v>M</v>
      </c>
      <c r="BI7" s="38" t="str">
        <f t="shared" si="3"/>
        <v>T</v>
      </c>
      <c r="BJ7" s="38" t="str">
        <f t="shared" si="3"/>
        <v>W</v>
      </c>
      <c r="BK7" s="38" t="str">
        <f t="shared" si="3"/>
        <v>T</v>
      </c>
      <c r="BL7" s="38" t="str">
        <f t="shared" si="3"/>
        <v>F</v>
      </c>
      <c r="BM7" s="38" t="str">
        <f t="shared" si="3"/>
        <v>S</v>
      </c>
      <c r="BN7" s="39" t="str">
        <f t="shared" si="3"/>
        <v>S</v>
      </c>
    </row>
    <row r="8" spans="1:66" s="83" customFormat="1" ht="18" x14ac:dyDescent="0.2">
      <c r="A8" s="75" t="str">
        <f>IF(ISERROR(VALUE(SUBSTITUTE(prevWBS,".",""))),"1",IF(ISERROR(FIND("`",SUBSTITUTE(prevWBS,".","`",1))),TEXT(VALUE(prevWBS)+1,"#"),TEXT(VALUE(LEFT(prevWBS,FIND("`",SUBSTITUTE(prevWBS,".","`",1))-1))+1,"#")))</f>
        <v>1</v>
      </c>
      <c r="B8" s="76" t="s">
        <v>48</v>
      </c>
      <c r="C8" s="76" t="s">
        <v>17</v>
      </c>
      <c r="D8" s="90" t="s">
        <v>41</v>
      </c>
      <c r="E8" s="84"/>
      <c r="F8" s="77"/>
      <c r="G8" s="78"/>
      <c r="H8" s="79"/>
      <c r="I8" s="80"/>
      <c r="J8" s="85"/>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row>
    <row r="9" spans="1:66" s="8" customFormat="1" ht="18" x14ac:dyDescent="0.2">
      <c r="A9"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95" t="s">
        <v>50</v>
      </c>
      <c r="D9" s="62"/>
      <c r="E9" s="63">
        <v>45978</v>
      </c>
      <c r="F9" s="64">
        <f>IF(ISBLANK(E9)," - ",IF(G9=0,E9,E9+G9-1))</f>
        <v>45999</v>
      </c>
      <c r="G9" s="65">
        <v>22</v>
      </c>
      <c r="H9" s="66">
        <f>I9/G9</f>
        <v>4.5454545454545451E-8</v>
      </c>
      <c r="I9" s="67">
        <v>9.9999999999999995E-7</v>
      </c>
      <c r="J9" s="2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row>
    <row r="10" spans="1:66" s="8" customFormat="1" ht="18" x14ac:dyDescent="0.2">
      <c r="A10"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v>
      </c>
      <c r="B10" s="68" t="s">
        <v>61</v>
      </c>
      <c r="C10" s="61"/>
      <c r="D10" s="62"/>
      <c r="E10" s="63"/>
      <c r="F10" s="64"/>
      <c r="G10" s="65"/>
      <c r="H10" s="66"/>
      <c r="I10" s="67"/>
      <c r="J10" s="2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row>
    <row r="11" spans="1:66" s="8" customFormat="1" ht="18" x14ac:dyDescent="0.2">
      <c r="A11"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1.2.1</v>
      </c>
      <c r="B11" s="69" t="s">
        <v>34</v>
      </c>
      <c r="C11" s="61"/>
      <c r="D11" s="62"/>
      <c r="E11" s="63">
        <v>46006</v>
      </c>
      <c r="F11" s="64">
        <f t="shared" ref="F11:F47" si="4">IF(ISBLANK(E11)," - ",IF(G11=0,E11,E11+G11-1))</f>
        <v>46016</v>
      </c>
      <c r="G11" s="65">
        <v>11</v>
      </c>
      <c r="H11" s="66">
        <f t="shared" ref="H11:H52" si="5">I11/G11</f>
        <v>9.0909090909090901E-8</v>
      </c>
      <c r="I11" s="67">
        <v>9.9999999999999995E-7</v>
      </c>
      <c r="J11" s="2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row>
    <row r="12" spans="1:66" s="8" customFormat="1" ht="18" x14ac:dyDescent="0.2">
      <c r="A12"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1.2.2</v>
      </c>
      <c r="B12" s="69" t="s">
        <v>35</v>
      </c>
      <c r="C12" s="61"/>
      <c r="D12" s="62"/>
      <c r="E12" s="63">
        <v>46016</v>
      </c>
      <c r="F12" s="64">
        <f t="shared" si="4"/>
        <v>46026</v>
      </c>
      <c r="G12" s="65">
        <v>11</v>
      </c>
      <c r="H12" s="66">
        <f t="shared" si="5"/>
        <v>9.0909090909090901E-8</v>
      </c>
      <c r="I12" s="67">
        <v>9.9999999999999995E-7</v>
      </c>
      <c r="J12" s="27"/>
      <c r="K12" s="7"/>
      <c r="L12" s="7"/>
      <c r="M12" s="33"/>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row>
    <row r="13" spans="1:66" s="8" customFormat="1" ht="18" x14ac:dyDescent="0.2">
      <c r="A13"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3" s="68" t="s">
        <v>36</v>
      </c>
      <c r="C13" s="61"/>
      <c r="D13" s="62"/>
      <c r="E13" s="63"/>
      <c r="F13" s="64"/>
      <c r="G13" s="65"/>
      <c r="H13" s="66"/>
      <c r="I13" s="67"/>
      <c r="J13" s="2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row>
    <row r="14" spans="1:66" s="8" customFormat="1" ht="18" x14ac:dyDescent="0.2">
      <c r="A14"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1.3.1</v>
      </c>
      <c r="B14" s="60" t="s">
        <v>37</v>
      </c>
      <c r="C14" s="61"/>
      <c r="D14" s="62"/>
      <c r="E14" s="63">
        <v>46027</v>
      </c>
      <c r="F14" s="64">
        <f t="shared" si="4"/>
        <v>46040</v>
      </c>
      <c r="G14" s="65">
        <v>14</v>
      </c>
      <c r="H14" s="66">
        <f t="shared" si="5"/>
        <v>7.1428571428571423E-8</v>
      </c>
      <c r="I14" s="67">
        <v>9.9999999999999995E-7</v>
      </c>
      <c r="J14" s="2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row>
    <row r="15" spans="1:66" s="8" customFormat="1" ht="35.25" customHeight="1" x14ac:dyDescent="0.2">
      <c r="A15"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1.3.2</v>
      </c>
      <c r="B15" s="70" t="s">
        <v>42</v>
      </c>
      <c r="C15" s="61"/>
      <c r="D15" s="62"/>
      <c r="E15" s="63">
        <v>46027</v>
      </c>
      <c r="F15" s="64">
        <f t="shared" si="4"/>
        <v>46047</v>
      </c>
      <c r="G15" s="65">
        <v>21</v>
      </c>
      <c r="H15" s="66">
        <f t="shared" si="5"/>
        <v>4.761904761904762E-8</v>
      </c>
      <c r="I15" s="67">
        <v>9.9999999999999995E-7</v>
      </c>
      <c r="J15" s="2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row>
    <row r="16" spans="1:66" s="8" customFormat="1" ht="18" x14ac:dyDescent="0.2">
      <c r="A16" s="59"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1.3.2.1</v>
      </c>
      <c r="B16" s="69" t="s">
        <v>57</v>
      </c>
      <c r="C16" s="61"/>
      <c r="D16" s="62"/>
      <c r="E16" s="63">
        <v>46027</v>
      </c>
      <c r="F16" s="64">
        <f t="shared" si="4"/>
        <v>46034</v>
      </c>
      <c r="G16" s="65">
        <v>8</v>
      </c>
      <c r="H16" s="66">
        <f t="shared" si="5"/>
        <v>1.2499999999999999E-7</v>
      </c>
      <c r="I16" s="67">
        <v>9.9999999999999995E-7</v>
      </c>
      <c r="J16" s="2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row>
    <row r="17" spans="1:66" s="8" customFormat="1" ht="18" x14ac:dyDescent="0.2">
      <c r="A17" s="59"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1.3.2.2</v>
      </c>
      <c r="B17" s="69" t="s">
        <v>58</v>
      </c>
      <c r="C17" s="61"/>
      <c r="D17" s="62"/>
      <c r="E17" s="63">
        <v>46034</v>
      </c>
      <c r="F17" s="64">
        <f t="shared" si="4"/>
        <v>46041</v>
      </c>
      <c r="G17" s="65">
        <v>8</v>
      </c>
      <c r="H17" s="66">
        <f t="shared" si="5"/>
        <v>1.2499999999999999E-7</v>
      </c>
      <c r="I17" s="67">
        <v>9.9999999999999995E-7</v>
      </c>
      <c r="J17" s="2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row>
    <row r="18" spans="1:66" s="8" customFormat="1" ht="18" x14ac:dyDescent="0.2">
      <c r="A18" s="59"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1.3.2.3</v>
      </c>
      <c r="B18" s="69" t="s">
        <v>59</v>
      </c>
      <c r="C18" s="61"/>
      <c r="D18" s="62"/>
      <c r="E18" s="63">
        <v>46041</v>
      </c>
      <c r="F18" s="64">
        <f t="shared" si="4"/>
        <v>46048</v>
      </c>
      <c r="G18" s="65">
        <v>8</v>
      </c>
      <c r="H18" s="66">
        <f t="shared" si="5"/>
        <v>1.2499999999999999E-7</v>
      </c>
      <c r="I18" s="67">
        <v>9.9999999999999995E-7</v>
      </c>
      <c r="J18" s="2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row>
    <row r="19" spans="1:66" s="8" customFormat="1" ht="18" x14ac:dyDescent="0.2">
      <c r="A19"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v>
      </c>
      <c r="B19" s="71" t="s">
        <v>38</v>
      </c>
      <c r="C19" s="61"/>
      <c r="D19" s="62"/>
      <c r="E19" s="63"/>
      <c r="F19" s="64"/>
      <c r="G19" s="65"/>
      <c r="H19" s="66"/>
      <c r="I19" s="67">
        <v>0</v>
      </c>
      <c r="J19" s="2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row>
    <row r="20" spans="1:66" s="8" customFormat="1" ht="18" x14ac:dyDescent="0.2">
      <c r="A20"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20" s="95" t="s">
        <v>60</v>
      </c>
      <c r="C20" s="61"/>
      <c r="D20" s="62"/>
      <c r="E20" s="63">
        <v>46056</v>
      </c>
      <c r="F20" s="64">
        <f t="shared" si="4"/>
        <v>46076</v>
      </c>
      <c r="G20" s="65">
        <v>21</v>
      </c>
      <c r="H20" s="66">
        <f t="shared" si="5"/>
        <v>4.761904761904762E-8</v>
      </c>
      <c r="I20" s="67">
        <v>9.9999999999999995E-7</v>
      </c>
      <c r="J20" s="2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row>
    <row r="21" spans="1:66" s="83" customFormat="1" ht="18" x14ac:dyDescent="0.2">
      <c r="A21" s="75" t="str">
        <f>IF(ISERROR(VALUE(SUBSTITUTE(prevWBS,".",""))),"1",IF(ISERROR(FIND("`",SUBSTITUTE(prevWBS,".","`",1))),TEXT(VALUE(prevWBS)+1,"#"),TEXT(VALUE(LEFT(prevWBS,FIND("`",SUBSTITUTE(prevWBS,".","`",1))-1))+1,"#")))</f>
        <v>2</v>
      </c>
      <c r="B21" s="76" t="s">
        <v>49</v>
      </c>
      <c r="C21" s="76" t="s">
        <v>17</v>
      </c>
      <c r="D21" s="90" t="s">
        <v>41</v>
      </c>
      <c r="E21" s="77"/>
      <c r="F21" s="77"/>
      <c r="G21" s="78"/>
      <c r="H21" s="77"/>
      <c r="I21" s="78"/>
      <c r="J21" s="81"/>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row>
    <row r="22" spans="1:66" s="8" customFormat="1" ht="24" x14ac:dyDescent="0.2">
      <c r="A22" s="59" t="str">
        <f t="shared" ref="A22:A29"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22" s="72" t="s">
        <v>19</v>
      </c>
      <c r="D22" s="62"/>
      <c r="E22" s="63">
        <v>45978</v>
      </c>
      <c r="F22" s="64">
        <f t="shared" si="4"/>
        <v>45992</v>
      </c>
      <c r="G22" s="65">
        <v>15</v>
      </c>
      <c r="H22" s="66">
        <f t="shared" si="5"/>
        <v>6.6666666666666668E-8</v>
      </c>
      <c r="I22" s="67">
        <v>9.9999999999999995E-7</v>
      </c>
      <c r="J22" s="2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row>
    <row r="23" spans="1:66" s="8" customFormat="1" ht="24" x14ac:dyDescent="0.2">
      <c r="A23" s="59" t="str">
        <f t="shared" si="6"/>
        <v>2.2</v>
      </c>
      <c r="B23" s="72" t="s">
        <v>20</v>
      </c>
      <c r="C23" s="61"/>
      <c r="D23" s="62"/>
      <c r="E23" s="63">
        <v>46027</v>
      </c>
      <c r="F23" s="64">
        <f t="shared" si="4"/>
        <v>46033</v>
      </c>
      <c r="G23" s="65">
        <v>7</v>
      </c>
      <c r="H23" s="66">
        <f t="shared" si="5"/>
        <v>1.4285714285714285E-7</v>
      </c>
      <c r="I23" s="67">
        <v>9.9999999999999995E-7</v>
      </c>
      <c r="J23" s="2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row>
    <row r="24" spans="1:66" s="8" customFormat="1" ht="18" x14ac:dyDescent="0.2">
      <c r="A24" s="59" t="str">
        <f t="shared" si="6"/>
        <v>2.3</v>
      </c>
      <c r="B24" s="68" t="s">
        <v>21</v>
      </c>
      <c r="C24" s="61"/>
      <c r="D24" s="62"/>
      <c r="E24" s="63"/>
      <c r="F24" s="64"/>
      <c r="G24" s="65"/>
      <c r="H24" s="66"/>
      <c r="I24" s="67"/>
      <c r="J24" s="2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row>
    <row r="25" spans="1:66" s="8" customFormat="1" ht="18" x14ac:dyDescent="0.2">
      <c r="A25"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2.3.1</v>
      </c>
      <c r="B25" s="69" t="s">
        <v>47</v>
      </c>
      <c r="C25" s="61"/>
      <c r="D25" s="62"/>
      <c r="E25" s="63">
        <v>46006</v>
      </c>
      <c r="F25" s="64">
        <f t="shared" ref="F25:F33" si="7">IF(ISBLANK(E25)," - ",IF(G25=0,E25,E25+G25-1))</f>
        <v>46027</v>
      </c>
      <c r="G25" s="65">
        <v>22</v>
      </c>
      <c r="H25" s="66">
        <f t="shared" si="5"/>
        <v>4.5454545454545451E-8</v>
      </c>
      <c r="I25" s="67">
        <v>9.9999999999999995E-7</v>
      </c>
      <c r="J25" s="2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row>
    <row r="26" spans="1:66" s="8" customFormat="1" ht="24" x14ac:dyDescent="0.2">
      <c r="A26"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2.3.2</v>
      </c>
      <c r="B26" s="93" t="s">
        <v>51</v>
      </c>
      <c r="C26" s="61"/>
      <c r="D26" s="62"/>
      <c r="E26" s="63">
        <v>46006</v>
      </c>
      <c r="F26" s="64">
        <f t="shared" si="7"/>
        <v>46027</v>
      </c>
      <c r="G26" s="65">
        <v>22</v>
      </c>
      <c r="H26" s="66">
        <f t="shared" si="5"/>
        <v>4.5454545454545451E-8</v>
      </c>
      <c r="I26" s="67">
        <v>9.9999999999999995E-7</v>
      </c>
      <c r="J26" s="2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row>
    <row r="27" spans="1:66" s="8" customFormat="1" ht="18" x14ac:dyDescent="0.2">
      <c r="A27" s="59" t="str">
        <f t="shared" si="6"/>
        <v>2.4</v>
      </c>
      <c r="B27" s="73" t="s">
        <v>22</v>
      </c>
      <c r="C27" s="61"/>
      <c r="D27" s="62"/>
      <c r="E27" s="63"/>
      <c r="F27" s="64"/>
      <c r="G27" s="65"/>
      <c r="H27" s="66"/>
      <c r="I27" s="67"/>
      <c r="J27" s="2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row>
    <row r="28" spans="1:66" s="8" customFormat="1" ht="18" x14ac:dyDescent="0.2">
      <c r="A28"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2.4.1</v>
      </c>
      <c r="B28" s="72" t="s">
        <v>52</v>
      </c>
      <c r="C28" s="61"/>
      <c r="D28" s="62"/>
      <c r="E28" s="63">
        <v>46006</v>
      </c>
      <c r="F28" s="64">
        <f t="shared" si="7"/>
        <v>46027</v>
      </c>
      <c r="G28" s="65">
        <v>22</v>
      </c>
      <c r="H28" s="66">
        <f t="shared" si="5"/>
        <v>4.5454545454545451E-8</v>
      </c>
      <c r="I28" s="67">
        <v>9.9999999999999995E-7</v>
      </c>
      <c r="J28" s="2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row>
    <row r="29" spans="1:66" s="8" customFormat="1" ht="18" x14ac:dyDescent="0.2">
      <c r="A29" s="59" t="str">
        <f t="shared" si="6"/>
        <v>2.5</v>
      </c>
      <c r="B29" s="73" t="s">
        <v>23</v>
      </c>
      <c r="C29" s="61"/>
      <c r="D29" s="62"/>
      <c r="E29" s="63"/>
      <c r="F29" s="64"/>
      <c r="G29" s="65"/>
      <c r="H29" s="66"/>
      <c r="I29" s="67"/>
      <c r="J29" s="2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row>
    <row r="30" spans="1:66" s="8" customFormat="1" ht="18" x14ac:dyDescent="0.2">
      <c r="A30"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2.5.1</v>
      </c>
      <c r="B30" s="69" t="s">
        <v>53</v>
      </c>
      <c r="C30" s="61"/>
      <c r="D30" s="62"/>
      <c r="E30" s="63">
        <v>46066</v>
      </c>
      <c r="F30" s="64">
        <f t="shared" si="7"/>
        <v>46079</v>
      </c>
      <c r="G30" s="65">
        <v>14</v>
      </c>
      <c r="H30" s="66">
        <f t="shared" si="5"/>
        <v>7.1428571428571423E-8</v>
      </c>
      <c r="I30" s="67">
        <v>9.9999999999999995E-7</v>
      </c>
      <c r="J30" s="2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row>
    <row r="31" spans="1:66" s="8" customFormat="1" ht="18" x14ac:dyDescent="0.2">
      <c r="A31"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2.5.2</v>
      </c>
      <c r="B31" s="69" t="s">
        <v>54</v>
      </c>
      <c r="C31" s="61"/>
      <c r="D31" s="62"/>
      <c r="E31" s="63">
        <v>46079</v>
      </c>
      <c r="F31" s="64">
        <f t="shared" si="7"/>
        <v>46092</v>
      </c>
      <c r="G31" s="65">
        <v>14</v>
      </c>
      <c r="H31" s="66">
        <f t="shared" si="5"/>
        <v>7.1428571428571423E-8</v>
      </c>
      <c r="I31" s="67">
        <v>9.9999999999999995E-7</v>
      </c>
      <c r="J31" s="2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row>
    <row r="32" spans="1:66" s="8" customFormat="1" ht="18" x14ac:dyDescent="0.2">
      <c r="A32"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2.5.3</v>
      </c>
      <c r="B32" s="69" t="s">
        <v>55</v>
      </c>
      <c r="C32" s="61"/>
      <c r="D32" s="62"/>
      <c r="E32" s="63">
        <v>46079</v>
      </c>
      <c r="F32" s="64">
        <f t="shared" si="7"/>
        <v>46092</v>
      </c>
      <c r="G32" s="65">
        <v>14</v>
      </c>
      <c r="H32" s="66">
        <f t="shared" si="5"/>
        <v>7.1428571428571423E-8</v>
      </c>
      <c r="I32" s="67">
        <v>9.9999999999999995E-7</v>
      </c>
      <c r="J32" s="2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row>
    <row r="33" spans="1:66" s="8" customFormat="1" ht="18" x14ac:dyDescent="0.2">
      <c r="A33"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2.5.4</v>
      </c>
      <c r="B33" s="69" t="s">
        <v>56</v>
      </c>
      <c r="C33" s="61"/>
      <c r="D33" s="62"/>
      <c r="E33" s="63">
        <v>46079</v>
      </c>
      <c r="F33" s="64">
        <f t="shared" si="7"/>
        <v>46092</v>
      </c>
      <c r="G33" s="65">
        <v>14</v>
      </c>
      <c r="H33" s="66">
        <f t="shared" si="5"/>
        <v>7.1428571428571423E-8</v>
      </c>
      <c r="I33" s="67">
        <v>9.9999999999999995E-7</v>
      </c>
      <c r="J33" s="27"/>
      <c r="K33" s="7"/>
      <c r="L33" s="7"/>
      <c r="M33" s="92"/>
      <c r="N33" s="92"/>
      <c r="O33" s="92"/>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row>
    <row r="34" spans="1:66" s="83" customFormat="1" ht="18" x14ac:dyDescent="0.2">
      <c r="A34" s="75" t="str">
        <f>IF(ISERROR(VALUE(SUBSTITUTE(prevWBS,".",""))),"1",IF(ISERROR(FIND("`",SUBSTITUTE(prevWBS,".","`",1))),TEXT(VALUE(prevWBS)+1,"#"),TEXT(VALUE(LEFT(prevWBS,FIND("`",SUBSTITUTE(prevWBS,".","`",1))-1))+1,"#")))</f>
        <v>3</v>
      </c>
      <c r="B34" s="76" t="s">
        <v>24</v>
      </c>
      <c r="C34" s="76" t="s">
        <v>40</v>
      </c>
      <c r="D34" s="90" t="s">
        <v>17</v>
      </c>
      <c r="E34" s="77"/>
      <c r="F34" s="77"/>
      <c r="G34" s="78"/>
      <c r="H34" s="77"/>
      <c r="I34" s="87"/>
      <c r="J34" s="81"/>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row>
    <row r="35" spans="1:66" s="8" customFormat="1" ht="18" x14ac:dyDescent="0.2">
      <c r="A35" s="59" t="str">
        <f t="shared" ref="A35:A42" si="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35" s="69"/>
      <c r="C35" s="61"/>
      <c r="D35" s="74"/>
      <c r="E35" s="63">
        <v>44882</v>
      </c>
      <c r="F35" s="64">
        <f t="shared" si="4"/>
        <v>44882</v>
      </c>
      <c r="G35" s="65">
        <v>1</v>
      </c>
      <c r="H35" s="66">
        <f t="shared" si="5"/>
        <v>0</v>
      </c>
      <c r="I35" s="67">
        <v>0</v>
      </c>
      <c r="K35" s="53"/>
      <c r="L35" s="7"/>
      <c r="M35" s="91"/>
      <c r="N35" s="91"/>
      <c r="O35" s="91"/>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row>
    <row r="36" spans="1:66" s="8" customFormat="1" ht="18" x14ac:dyDescent="0.2">
      <c r="A36" s="59" t="str">
        <f t="shared" si="8"/>
        <v>3.2</v>
      </c>
      <c r="B36" s="69" t="s">
        <v>76</v>
      </c>
      <c r="C36" s="61"/>
      <c r="D36" s="74"/>
      <c r="E36" s="63">
        <v>45978</v>
      </c>
      <c r="F36" s="64">
        <f t="shared" si="4"/>
        <v>45999</v>
      </c>
      <c r="G36" s="65">
        <v>22</v>
      </c>
      <c r="H36" s="66">
        <f t="shared" si="5"/>
        <v>9.0909090909090912E-2</v>
      </c>
      <c r="I36" s="67">
        <v>2</v>
      </c>
      <c r="J36" s="53"/>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row>
    <row r="37" spans="1:66" s="8" customFormat="1" ht="18" x14ac:dyDescent="0.2">
      <c r="A37" s="59" t="str">
        <f t="shared" si="8"/>
        <v>3.3</v>
      </c>
      <c r="B37" s="69" t="s">
        <v>25</v>
      </c>
      <c r="C37" s="61"/>
      <c r="D37" s="74"/>
      <c r="E37" s="63">
        <v>46006</v>
      </c>
      <c r="F37" s="64">
        <f t="shared" si="4"/>
        <v>46027</v>
      </c>
      <c r="G37" s="65">
        <v>22</v>
      </c>
      <c r="H37" s="66">
        <f t="shared" si="5"/>
        <v>0</v>
      </c>
      <c r="I37" s="67">
        <v>0</v>
      </c>
      <c r="J37" s="53"/>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row>
    <row r="38" spans="1:66" s="8" customFormat="1" ht="18" x14ac:dyDescent="0.2">
      <c r="A38" s="59" t="str">
        <f t="shared" si="8"/>
        <v>3.4</v>
      </c>
      <c r="B38" s="69" t="s">
        <v>26</v>
      </c>
      <c r="C38" s="61"/>
      <c r="D38" s="62"/>
      <c r="E38" s="63">
        <v>46006</v>
      </c>
      <c r="F38" s="64">
        <f t="shared" si="4"/>
        <v>46027</v>
      </c>
      <c r="G38" s="65">
        <v>22</v>
      </c>
      <c r="H38" s="66">
        <f t="shared" si="5"/>
        <v>4.5454545454545451E-8</v>
      </c>
      <c r="I38" s="67">
        <v>9.9999999999999995E-7</v>
      </c>
      <c r="J38" s="2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row>
    <row r="39" spans="1:66" s="8" customFormat="1" ht="18" x14ac:dyDescent="0.2">
      <c r="A39" s="59" t="str">
        <f t="shared" si="8"/>
        <v>3.5</v>
      </c>
      <c r="B39" s="69" t="s">
        <v>27</v>
      </c>
      <c r="C39" s="61"/>
      <c r="D39" s="62"/>
      <c r="E39" s="63">
        <v>46027</v>
      </c>
      <c r="F39" s="64">
        <f t="shared" si="4"/>
        <v>46040</v>
      </c>
      <c r="G39" s="65">
        <v>14</v>
      </c>
      <c r="H39" s="66">
        <f t="shared" si="5"/>
        <v>7.1428571428571423E-8</v>
      </c>
      <c r="I39" s="67">
        <v>9.9999999999999995E-7</v>
      </c>
      <c r="J39" s="2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row>
    <row r="40" spans="1:66" s="8" customFormat="1" ht="18" x14ac:dyDescent="0.2">
      <c r="A40" s="59" t="str">
        <f t="shared" si="8"/>
        <v>3.6</v>
      </c>
      <c r="B40" s="69" t="s">
        <v>62</v>
      </c>
      <c r="C40" s="61"/>
      <c r="D40" s="62"/>
      <c r="E40" s="63">
        <v>46040</v>
      </c>
      <c r="F40" s="64">
        <f t="shared" si="4"/>
        <v>46053</v>
      </c>
      <c r="G40" s="65">
        <v>14</v>
      </c>
      <c r="H40" s="66">
        <f t="shared" si="5"/>
        <v>7.1428571428571423E-8</v>
      </c>
      <c r="I40" s="67">
        <v>9.9999999999999995E-7</v>
      </c>
      <c r="J40" s="2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row>
    <row r="41" spans="1:66" s="8" customFormat="1" ht="18" x14ac:dyDescent="0.2">
      <c r="A41" s="59" t="str">
        <f t="shared" si="8"/>
        <v>3.7</v>
      </c>
      <c r="B41" s="69" t="s">
        <v>63</v>
      </c>
      <c r="C41" s="61"/>
      <c r="D41" s="62"/>
      <c r="E41" s="63">
        <v>46053</v>
      </c>
      <c r="F41" s="64">
        <f t="shared" si="4"/>
        <v>46066</v>
      </c>
      <c r="G41" s="65">
        <v>14</v>
      </c>
      <c r="H41" s="66">
        <f t="shared" si="5"/>
        <v>7.1428571428571423E-8</v>
      </c>
      <c r="I41" s="67">
        <v>9.9999999999999995E-7</v>
      </c>
      <c r="J41" s="2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row>
    <row r="42" spans="1:66" s="8" customFormat="1" ht="18" x14ac:dyDescent="0.2">
      <c r="A42" s="59" t="str">
        <f t="shared" si="8"/>
        <v>3.8</v>
      </c>
      <c r="B42" s="69" t="s">
        <v>64</v>
      </c>
      <c r="C42" s="61"/>
      <c r="D42" s="62"/>
      <c r="E42" s="63">
        <v>46066</v>
      </c>
      <c r="F42" s="64">
        <f t="shared" si="4"/>
        <v>46079</v>
      </c>
      <c r="G42" s="65">
        <v>14</v>
      </c>
      <c r="H42" s="66">
        <f t="shared" si="5"/>
        <v>7.1428571428571423E-8</v>
      </c>
      <c r="I42" s="67">
        <v>9.9999999999999995E-7</v>
      </c>
      <c r="J42" s="2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row>
    <row r="43" spans="1:66" s="83" customFormat="1" ht="18" x14ac:dyDescent="0.2">
      <c r="A43" s="75" t="str">
        <f>IF(ISERROR(VALUE(SUBSTITUTE(prevWBS,".",""))),"1",IF(ISERROR(FIND("`",SUBSTITUTE(prevWBS,".","`",1))),TEXT(VALUE(prevWBS)+1,"#"),TEXT(VALUE(LEFT(prevWBS,FIND("`",SUBSTITUTE(prevWBS,".","`",1))-1))+1,"#")))</f>
        <v>4</v>
      </c>
      <c r="B43" s="76" t="s">
        <v>28</v>
      </c>
      <c r="C43" s="76" t="s">
        <v>39</v>
      </c>
      <c r="D43" s="90" t="s">
        <v>41</v>
      </c>
      <c r="E43" s="77"/>
      <c r="F43" s="77"/>
      <c r="G43" s="78"/>
      <c r="H43" s="77"/>
      <c r="I43" s="87"/>
      <c r="J43" s="81"/>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row>
    <row r="44" spans="1:66" s="8" customFormat="1" ht="18" x14ac:dyDescent="0.2">
      <c r="A44" s="59" t="str">
        <f t="shared" ref="A44:A47" si="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44" s="69" t="s">
        <v>29</v>
      </c>
      <c r="C44" s="61"/>
      <c r="D44" s="62"/>
      <c r="E44" s="63">
        <v>45978</v>
      </c>
      <c r="F44" s="64">
        <f t="shared" si="4"/>
        <v>46007</v>
      </c>
      <c r="G44" s="65">
        <v>30</v>
      </c>
      <c r="H44" s="66">
        <f t="shared" si="5"/>
        <v>3.3333333333333334E-8</v>
      </c>
      <c r="I44" s="67">
        <v>9.9999999999999995E-7</v>
      </c>
      <c r="J44" s="2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row>
    <row r="45" spans="1:66" s="8" customFormat="1" ht="18" x14ac:dyDescent="0.2">
      <c r="A45" s="59" t="str">
        <f t="shared" si="9"/>
        <v>4.2</v>
      </c>
      <c r="B45" s="69" t="s">
        <v>30</v>
      </c>
      <c r="C45" s="61"/>
      <c r="D45" s="62"/>
      <c r="E45" s="63">
        <v>46040</v>
      </c>
      <c r="F45" s="64">
        <f t="shared" si="4"/>
        <v>46053</v>
      </c>
      <c r="G45" s="65">
        <v>14</v>
      </c>
      <c r="H45" s="66">
        <f t="shared" si="5"/>
        <v>7.1428571428571423E-8</v>
      </c>
      <c r="I45" s="67">
        <v>9.9999999999999995E-7</v>
      </c>
      <c r="J45" s="2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row>
    <row r="46" spans="1:66" s="8" customFormat="1" ht="18" x14ac:dyDescent="0.2">
      <c r="A46" s="59" t="str">
        <f t="shared" si="9"/>
        <v>4.3</v>
      </c>
      <c r="B46" s="69" t="s">
        <v>31</v>
      </c>
      <c r="C46" s="61"/>
      <c r="D46" s="62"/>
      <c r="E46" s="63">
        <v>46053</v>
      </c>
      <c r="F46" s="64">
        <f t="shared" si="4"/>
        <v>46066</v>
      </c>
      <c r="G46" s="65">
        <v>14</v>
      </c>
      <c r="H46" s="66">
        <f t="shared" si="5"/>
        <v>7.1428571428571423E-8</v>
      </c>
      <c r="I46" s="67">
        <v>9.9999999999999995E-7</v>
      </c>
      <c r="J46" s="2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row>
    <row r="47" spans="1:66" s="8" customFormat="1" ht="18" x14ac:dyDescent="0.2">
      <c r="A47" s="59" t="str">
        <f t="shared" si="9"/>
        <v>4.4</v>
      </c>
      <c r="B47" s="69" t="s">
        <v>32</v>
      </c>
      <c r="C47" s="61"/>
      <c r="D47" s="62"/>
      <c r="E47" s="63">
        <v>46066</v>
      </c>
      <c r="F47" s="64">
        <f t="shared" si="4"/>
        <v>46079</v>
      </c>
      <c r="G47" s="65">
        <v>14</v>
      </c>
      <c r="H47" s="66">
        <f t="shared" si="5"/>
        <v>7.1428571428571423E-8</v>
      </c>
      <c r="I47" s="67">
        <v>9.9999999999999995E-7</v>
      </c>
      <c r="J47" s="2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row>
    <row r="48" spans="1:66" s="89" customFormat="1" ht="18" x14ac:dyDescent="0.2">
      <c r="A48" s="75" t="str">
        <f>IF(ISERROR(VALUE(SUBSTITUTE(prevWBS,".",""))),"1",IF(ISERROR(FIND("`",SUBSTITUTE(prevWBS,".","`",1))),TEXT(VALUE(prevWBS)+1,"#"),TEXT(VALUE(LEFT(prevWBS,FIND("`",SUBSTITUTE(prevWBS,".","`",1))-1))+1,"#")))</f>
        <v>5</v>
      </c>
      <c r="B48" s="76" t="s">
        <v>33</v>
      </c>
      <c r="C48" s="76" t="s">
        <v>40</v>
      </c>
      <c r="D48" s="90" t="s">
        <v>39</v>
      </c>
      <c r="E48" s="77"/>
      <c r="F48" s="77"/>
      <c r="G48" s="87"/>
      <c r="H48" s="77"/>
      <c r="I48" s="87"/>
      <c r="J48" s="88"/>
      <c r="K48" s="82"/>
      <c r="L48" s="82"/>
      <c r="M48" s="82"/>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row>
    <row r="49" spans="1:66" s="12" customFormat="1" ht="18" x14ac:dyDescent="0.2">
      <c r="A49"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49" s="69" t="s">
        <v>69</v>
      </c>
      <c r="C49" s="61"/>
      <c r="D49" s="62"/>
      <c r="E49" s="63">
        <v>45978</v>
      </c>
      <c r="F49" s="64">
        <f>IF(ISBLANK(E49)," - ",IF(G49=0,E49,E49+G49-1))</f>
        <v>46067</v>
      </c>
      <c r="G49" s="65">
        <v>90</v>
      </c>
      <c r="H49" s="66">
        <f t="shared" si="5"/>
        <v>1.1111111111111112E-2</v>
      </c>
      <c r="I49" s="67">
        <v>1</v>
      </c>
      <c r="J49" s="51"/>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row>
    <row r="50" spans="1:66" s="12" customFormat="1" ht="18" x14ac:dyDescent="0.2">
      <c r="A50"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50" s="69" t="s">
        <v>65</v>
      </c>
      <c r="C50" s="61"/>
      <c r="D50" s="62"/>
      <c r="E50" s="63">
        <v>46053</v>
      </c>
      <c r="F50" s="64">
        <f>IF(ISBLANK(E50)," - ",IF(G50=0,E50,E50+G50-1))</f>
        <v>46066</v>
      </c>
      <c r="G50" s="65">
        <v>14</v>
      </c>
      <c r="H50" s="66">
        <f t="shared" si="5"/>
        <v>7.1428571428571423E-8</v>
      </c>
      <c r="I50" s="67">
        <v>9.9999999999999995E-7</v>
      </c>
      <c r="J50" s="51"/>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row>
    <row r="51" spans="1:66" s="12" customFormat="1" ht="18" x14ac:dyDescent="0.2">
      <c r="A51"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51" s="69" t="s">
        <v>66</v>
      </c>
      <c r="C51" s="61"/>
      <c r="D51" s="62"/>
      <c r="E51" s="63">
        <v>46066</v>
      </c>
      <c r="F51" s="64">
        <f>IF(ISBLANK(E51)," - ",IF(G51=0,E51,E51+G51-1))</f>
        <v>46079</v>
      </c>
      <c r="G51" s="65">
        <v>14</v>
      </c>
      <c r="H51" s="66">
        <f t="shared" si="5"/>
        <v>7.1428571428571423E-8</v>
      </c>
      <c r="I51" s="67">
        <v>9.9999999999999995E-7</v>
      </c>
      <c r="J51" s="51"/>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row>
    <row r="52" spans="1:66" s="12" customFormat="1" ht="18" x14ac:dyDescent="0.2">
      <c r="A52"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52" s="69" t="s">
        <v>68</v>
      </c>
      <c r="C52" s="61"/>
      <c r="D52" s="62"/>
      <c r="E52" s="63">
        <v>46079</v>
      </c>
      <c r="F52" s="64">
        <f>IF(ISBLANK(E52)," - ",IF(G52=0,E52,E52+G52-1))</f>
        <v>46092</v>
      </c>
      <c r="G52" s="65">
        <v>14</v>
      </c>
      <c r="H52" s="66">
        <f t="shared" si="5"/>
        <v>0</v>
      </c>
      <c r="I52" s="67">
        <v>0</v>
      </c>
      <c r="J52" s="51"/>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row>
    <row r="53" spans="1:66" s="89" customFormat="1" ht="18" x14ac:dyDescent="0.2">
      <c r="A53" s="75" t="str">
        <f>IF(ISERROR(VALUE(SUBSTITUTE(prevWBS,".",""))),"1",IF(ISERROR(FIND("`",SUBSTITUTE(prevWBS,".","`",1))),TEXT(VALUE(prevWBS)+1,"#"),TEXT(VALUE(LEFT(prevWBS,FIND("`",SUBSTITUTE(prevWBS,".","`",1))-1))+1,"#")))</f>
        <v>6</v>
      </c>
      <c r="B53" s="76" t="s">
        <v>75</v>
      </c>
      <c r="C53" s="76" t="s">
        <v>17</v>
      </c>
      <c r="D53" s="90" t="s">
        <v>46</v>
      </c>
      <c r="E53" s="77"/>
      <c r="F53" s="77"/>
      <c r="G53" s="87"/>
      <c r="H53" s="77"/>
      <c r="I53" s="87"/>
      <c r="J53" s="88"/>
      <c r="K53" s="82"/>
      <c r="L53" s="82"/>
      <c r="M53" s="82"/>
      <c r="N53" s="82"/>
      <c r="O53" s="82"/>
      <c r="P53" s="82"/>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c r="BH53" s="82"/>
      <c r="BI53" s="82"/>
      <c r="BJ53" s="82"/>
      <c r="BK53" s="82"/>
      <c r="BL53" s="82"/>
      <c r="BM53" s="82"/>
      <c r="BN53" s="82"/>
    </row>
    <row r="54" spans="1:66" s="12" customFormat="1" ht="18" x14ac:dyDescent="0.2">
      <c r="A54"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v>
      </c>
      <c r="B54" s="69" t="s">
        <v>70</v>
      </c>
      <c r="C54" s="61"/>
      <c r="D54" s="62"/>
      <c r="E54" s="63">
        <v>46097</v>
      </c>
      <c r="F54" s="64">
        <f>IF(ISBLANK(E54)," - ",IF(G54=0,E54,E54+G54-1))</f>
        <v>46110</v>
      </c>
      <c r="G54" s="65">
        <v>14</v>
      </c>
      <c r="H54" s="66">
        <f>I54/G54</f>
        <v>7.1428571428571423E-8</v>
      </c>
      <c r="I54" s="67">
        <v>9.9999999999999995E-7</v>
      </c>
      <c r="J54" s="51"/>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row>
    <row r="55" spans="1:66" s="12" customFormat="1" ht="24" x14ac:dyDescent="0.2">
      <c r="A55"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6.1.1</v>
      </c>
      <c r="B55" s="93" t="s">
        <v>74</v>
      </c>
      <c r="C55" s="61"/>
      <c r="D55" s="62"/>
      <c r="E55" s="63">
        <v>46098</v>
      </c>
      <c r="F55" s="64">
        <f t="shared" ref="F55:F57" si="10">IF(ISBLANK(E55)," - ",IF(G55=0,E55,E55+G55-1))</f>
        <v>46111</v>
      </c>
      <c r="G55" s="65">
        <v>14</v>
      </c>
      <c r="H55" s="66">
        <f t="shared" ref="H55:H57" si="11">I55/G55</f>
        <v>7.1428571428571423E-8</v>
      </c>
      <c r="I55" s="67">
        <v>9.9999999999999995E-7</v>
      </c>
      <c r="J55" s="51"/>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row>
    <row r="56" spans="1:66" s="12" customFormat="1" ht="24" x14ac:dyDescent="0.2">
      <c r="A56"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6.1.2</v>
      </c>
      <c r="B56" s="72" t="s">
        <v>73</v>
      </c>
      <c r="C56" s="61"/>
      <c r="D56" s="61"/>
      <c r="E56" s="63">
        <v>46099</v>
      </c>
      <c r="F56" s="64">
        <f t="shared" si="10"/>
        <v>46112</v>
      </c>
      <c r="G56" s="65">
        <v>14</v>
      </c>
      <c r="H56" s="66">
        <f t="shared" si="11"/>
        <v>7.1428571428571423E-8</v>
      </c>
      <c r="I56" s="67">
        <v>9.9999999999999995E-7</v>
      </c>
      <c r="J56" s="51"/>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row>
    <row r="57" spans="1:66" s="12" customFormat="1" ht="18" x14ac:dyDescent="0.2">
      <c r="A57"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6.1.3</v>
      </c>
      <c r="B57" s="72" t="s">
        <v>72</v>
      </c>
      <c r="C57" s="61"/>
      <c r="D57" s="61"/>
      <c r="E57" s="63">
        <v>46100</v>
      </c>
      <c r="F57" s="64">
        <f t="shared" si="10"/>
        <v>46113</v>
      </c>
      <c r="G57" s="65">
        <v>14</v>
      </c>
      <c r="H57" s="66">
        <f t="shared" si="11"/>
        <v>7.1428571428571423E-8</v>
      </c>
      <c r="I57" s="67">
        <v>9.9999999999999995E-7</v>
      </c>
      <c r="J57" s="51"/>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row>
    <row r="58" spans="1:66" s="89" customFormat="1" ht="18" x14ac:dyDescent="0.2">
      <c r="A58" s="75" t="str">
        <f>IF(ISERROR(VALUE(SUBSTITUTE(prevWBS,".",""))),"1",IF(ISERROR(FIND("`",SUBSTITUTE(prevWBS,".","`",1))),TEXT(VALUE(prevWBS)+1,"#"),TEXT(VALUE(LEFT(prevWBS,FIND("`",SUBSTITUTE(prevWBS,".","`",1))-1))+1,"#")))</f>
        <v>7</v>
      </c>
      <c r="B58" s="76" t="s">
        <v>71</v>
      </c>
      <c r="C58" s="76" t="s">
        <v>41</v>
      </c>
      <c r="D58" s="90" t="s">
        <v>46</v>
      </c>
      <c r="E58" s="77"/>
      <c r="F58" s="77"/>
      <c r="G58" s="87"/>
      <c r="H58" s="77"/>
      <c r="I58" s="87"/>
      <c r="J58" s="88"/>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row>
    <row r="59" spans="1:66" s="12" customFormat="1" ht="18" x14ac:dyDescent="0.2">
      <c r="A59"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59" s="69" t="s">
        <v>43</v>
      </c>
      <c r="C59" s="61"/>
      <c r="D59" s="62"/>
      <c r="E59" s="63">
        <v>46097</v>
      </c>
      <c r="F59" s="64">
        <f>IF(ISBLANK(E59)," - ",IF(G59=0,E59,E59+G59-1))</f>
        <v>46126</v>
      </c>
      <c r="G59" s="65">
        <v>30</v>
      </c>
      <c r="H59" s="66">
        <f>I59/G59</f>
        <v>3.3333333333333334E-8</v>
      </c>
      <c r="I59" s="67">
        <v>9.9999999999999995E-7</v>
      </c>
      <c r="J59" s="51"/>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row>
    <row r="60" spans="1:66" s="12" customFormat="1" ht="18" x14ac:dyDescent="0.2">
      <c r="A60"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7.2</v>
      </c>
      <c r="B60" s="69" t="s">
        <v>44</v>
      </c>
      <c r="C60" s="61"/>
      <c r="D60" s="62"/>
      <c r="E60" s="63">
        <v>46126</v>
      </c>
      <c r="F60" s="64">
        <f>IF(ISBLANK(E60)," - ",IF(G60=0,E60,E60+G60-1))</f>
        <v>46140</v>
      </c>
      <c r="G60" s="65">
        <v>15</v>
      </c>
      <c r="H60" s="66">
        <f>I60/G60</f>
        <v>6.6666666666666668E-8</v>
      </c>
      <c r="I60" s="67">
        <v>9.9999999999999995E-7</v>
      </c>
      <c r="J60" s="51"/>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row>
    <row r="61" spans="1:66" s="12" customFormat="1" ht="18" x14ac:dyDescent="0.2">
      <c r="A61"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7.3</v>
      </c>
      <c r="B61" s="69" t="s">
        <v>45</v>
      </c>
      <c r="C61" s="61"/>
      <c r="D61" s="62"/>
      <c r="E61" s="63">
        <v>46097</v>
      </c>
      <c r="F61" s="64">
        <f>IF(ISBLANK(E61)," - ",IF(G61=0,E61,E61+G61-1))</f>
        <v>46141</v>
      </c>
      <c r="G61" s="65">
        <v>45</v>
      </c>
      <c r="H61" s="66">
        <f>I61/G61</f>
        <v>2.222222222222222E-8</v>
      </c>
      <c r="I61" s="67">
        <v>9.9999999999999995E-7</v>
      </c>
      <c r="J61" s="51"/>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row>
    <row r="62" spans="1:66" s="17" customFormat="1" ht="12" x14ac:dyDescent="0.2">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row>
    <row r="63" spans="1:66" s="12" customFormat="1" ht="18" x14ac:dyDescent="0.2">
      <c r="A63" s="13" t="s">
        <v>1</v>
      </c>
      <c r="B63" s="14"/>
      <c r="C63" s="15"/>
      <c r="D63" s="15"/>
      <c r="E63" s="31"/>
      <c r="F63" s="31"/>
      <c r="G63" s="16"/>
      <c r="H63" s="16"/>
      <c r="I63" s="16"/>
      <c r="J63" s="28"/>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row>
    <row r="64" spans="1:66" s="12" customFormat="1" ht="18" x14ac:dyDescent="0.2">
      <c r="A64" s="18" t="s">
        <v>2</v>
      </c>
      <c r="B64" s="19"/>
      <c r="C64" s="19"/>
      <c r="D64" s="19"/>
      <c r="E64" s="32"/>
      <c r="F64" s="32"/>
      <c r="G64" s="19"/>
      <c r="H64" s="19"/>
      <c r="I64" s="19"/>
      <c r="J64" s="28"/>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row>
    <row r="65" spans="1:66" s="12" customFormat="1" ht="18" x14ac:dyDescent="0.2">
      <c r="A65" s="41" t="str">
        <f>IF(ISERROR(VALUE(SUBSTITUTE(prevWBS,".",""))),"1",IF(ISERROR(FIND("`",SUBSTITUTE(prevWBS,".","`",1))),TEXT(VALUE(prevWBS)+1,"#"),TEXT(VALUE(LEFT(prevWBS,FIND("`",SUBSTITUTE(prevWBS,".","`",1))-1))+1,"#")))</f>
        <v>1</v>
      </c>
      <c r="B65" s="42" t="s">
        <v>16</v>
      </c>
      <c r="C65" s="20"/>
      <c r="D65" s="21"/>
      <c r="E65" s="29"/>
      <c r="F65" s="30" t="str">
        <f t="shared" ref="F65:F68" si="12">IF(ISBLANK(E65)," - ",IF(G65=0,E65,E65+G65-1))</f>
        <v xml:space="preserve"> - </v>
      </c>
      <c r="G65" s="9"/>
      <c r="H65" s="10"/>
      <c r="I65" s="11" t="str">
        <f>IF(OR(F65=0,E65=0)," - ",NETWORKDAYS(E65,F65))</f>
        <v xml:space="preserve"> - </v>
      </c>
      <c r="J65" s="2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row>
    <row r="66" spans="1:66" s="12" customFormat="1" ht="18" x14ac:dyDescent="0.2">
      <c r="A66" s="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6" s="22" t="s">
        <v>3</v>
      </c>
      <c r="C66" s="22"/>
      <c r="D66" s="21"/>
      <c r="E66" s="29"/>
      <c r="F66" s="30" t="str">
        <f t="shared" si="12"/>
        <v xml:space="preserve"> - </v>
      </c>
      <c r="G66" s="9"/>
      <c r="H66" s="10"/>
      <c r="I66" s="11" t="str">
        <f t="shared" ref="I66:I68" si="13">IF(OR(F66=0,E66=0)," - ",NETWORKDAYS(E66,F66))</f>
        <v xml:space="preserve"> - </v>
      </c>
      <c r="J66" s="2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row>
    <row r="67" spans="1:66" s="12" customFormat="1" ht="18" x14ac:dyDescent="0.2">
      <c r="A67" s="7"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67" s="23" t="s">
        <v>4</v>
      </c>
      <c r="C67" s="22"/>
      <c r="D67" s="21"/>
      <c r="E67" s="29"/>
      <c r="F67" s="30" t="str">
        <f t="shared" si="12"/>
        <v xml:space="preserve"> - </v>
      </c>
      <c r="G67" s="9"/>
      <c r="H67" s="10"/>
      <c r="I67" s="11" t="str">
        <f t="shared" si="13"/>
        <v xml:space="preserve"> - </v>
      </c>
      <c r="J67" s="2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row>
    <row r="68" spans="1:66" s="12" customFormat="1" ht="18" x14ac:dyDescent="0.2">
      <c r="A68" s="7"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1.1.2</v>
      </c>
      <c r="B68" s="23" t="s">
        <v>4</v>
      </c>
      <c r="C68" s="22"/>
      <c r="D68" s="21"/>
      <c r="E68" s="29"/>
      <c r="F68" s="30" t="str">
        <f t="shared" si="12"/>
        <v xml:space="preserve"> - </v>
      </c>
      <c r="G68" s="9"/>
      <c r="H68" s="10"/>
      <c r="I68" s="11" t="str">
        <f t="shared" si="13"/>
        <v xml:space="preserve"> - </v>
      </c>
      <c r="J68" s="27"/>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row>
    <row r="69" spans="1:66" s="4" customFormat="1" ht="18" x14ac:dyDescent="0.2">
      <c r="A69" s="7"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1.1.2.1</v>
      </c>
      <c r="B69" s="23" t="s">
        <v>5</v>
      </c>
      <c r="C69" s="44"/>
      <c r="D69" s="45"/>
      <c r="E69" s="46"/>
      <c r="F69" s="47"/>
      <c r="G69" s="48"/>
      <c r="H69" s="49"/>
      <c r="I69" s="50"/>
      <c r="J69" s="51"/>
    </row>
    <row r="70" spans="1:66" x14ac:dyDescent="0.2">
      <c r="A70" s="43" t="str">
        <f>HYPERLINK("https://vertex42.link/HowToCreateAGanttChart","► Watch How to Create a Gantt Chart in Excel")</f>
        <v>► Watch How to Create a Gantt Chart in Excel</v>
      </c>
      <c r="C70" s="4"/>
      <c r="D70" s="4"/>
      <c r="E70" s="4"/>
      <c r="F70" s="4"/>
      <c r="G70" s="4"/>
      <c r="H70" s="4"/>
      <c r="I70" s="4"/>
      <c r="J70" s="4"/>
    </row>
    <row r="147" spans="35:35" x14ac:dyDescent="0.2">
      <c r="AI147" s="2" t="s">
        <v>67</v>
      </c>
    </row>
  </sheetData>
  <sheetProtection formatCells="0" formatColumns="0" formatRows="0" insertRows="0" deleteRows="0"/>
  <mergeCells count="19">
    <mergeCell ref="BH4:BN4"/>
    <mergeCell ref="BH5:BN5"/>
    <mergeCell ref="AM5:AS5"/>
    <mergeCell ref="AT4:AZ4"/>
    <mergeCell ref="AT5:AZ5"/>
    <mergeCell ref="AM4:AS4"/>
    <mergeCell ref="BA4:BG4"/>
    <mergeCell ref="BA5:BG5"/>
    <mergeCell ref="R5:X5"/>
    <mergeCell ref="K5:Q5"/>
    <mergeCell ref="Y4:AE4"/>
    <mergeCell ref="Y5:AE5"/>
    <mergeCell ref="AF4:AL4"/>
    <mergeCell ref="AF5:AL5"/>
    <mergeCell ref="K1:AE1"/>
    <mergeCell ref="C2:E2"/>
    <mergeCell ref="R4:X4"/>
    <mergeCell ref="K4:Q4"/>
    <mergeCell ref="C1:E1"/>
  </mergeCells>
  <phoneticPr fontId="3" type="noConversion"/>
  <conditionalFormatting sqref="H44:H47 H22:H33 H49:H52 H35:H42 H8:H20 H59:H61 H63:H69 H54:H57">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21" priority="49">
      <formula>K$6=TODAY()</formula>
    </cfRule>
  </conditionalFormatting>
  <conditionalFormatting sqref="K6:BN68">
    <cfRule type="expression" dxfId="20" priority="12">
      <formula>K$6=TODAY()</formula>
    </cfRule>
  </conditionalFormatting>
  <conditionalFormatting sqref="K8:BN34 K38:BN53 K58:BN58">
    <cfRule type="expression" dxfId="19" priority="52">
      <formula>AND($E8&lt;=K$6,ROUNDDOWN(($F8-$E8+1)*$H8,0)+$E8-1&gt;=K$6)</formula>
    </cfRule>
    <cfRule type="expression" dxfId="18" priority="53">
      <formula>AND(NOT(ISBLANK($E8)),$E8&lt;=K$6,$F8&gt;=K$6)</formula>
    </cfRule>
  </conditionalFormatting>
  <conditionalFormatting sqref="K37:BN37">
    <cfRule type="expression" dxfId="17" priority="63">
      <formula>AND($E35&lt;=K$6,ROUNDDOWN(($F37-$E35+1)*$H37,0)+$E35-1&gt;=K$6)</formula>
    </cfRule>
    <cfRule type="expression" dxfId="16" priority="64">
      <formula>AND(NOT(ISBLANK($E35)),$E35&lt;=K$6,$F37&gt;=K$6)</formula>
    </cfRule>
  </conditionalFormatting>
  <conditionalFormatting sqref="K54:BN55">
    <cfRule type="expression" dxfId="15" priority="99">
      <formula>AND($E59&lt;=K$6,ROUNDDOWN(($F59-$E59+1)*$H59,0)+$E59-1&gt;=K$6)</formula>
    </cfRule>
    <cfRule type="expression" dxfId="14" priority="100">
      <formula>AND(NOT(ISBLANK($E59)),$E59&lt;=K$6,$F59&gt;=K$6)</formula>
    </cfRule>
  </conditionalFormatting>
  <conditionalFormatting sqref="K56:BN57">
    <cfRule type="expression" dxfId="13" priority="93">
      <formula>AND($E60&lt;=K$6,ROUNDDOWN(($F60-$E60+1)*$H60,0)+$E60-1&gt;=K$6)</formula>
    </cfRule>
    <cfRule type="expression" dxfId="12" priority="94">
      <formula>AND(NOT(ISBLANK($E60)),$E60&lt;=K$6,$F60&gt;=K$6)</formula>
    </cfRule>
  </conditionalFormatting>
  <conditionalFormatting sqref="K59:BN59">
    <cfRule type="expression" dxfId="11" priority="71">
      <formula>AND($E61&lt;=K$6,ROUNDDOWN(($F61-$E61+1)*$H61,0)+$E61-1&gt;=K$6)</formula>
    </cfRule>
    <cfRule type="expression" dxfId="10" priority="72">
      <formula>AND(NOT(ISBLANK($E61)),$E61&lt;=K$6,$F61&gt;=K$6)</formula>
    </cfRule>
  </conditionalFormatting>
  <conditionalFormatting sqref="K60:BN60">
    <cfRule type="expression" dxfId="9" priority="81">
      <formula>AND($E54&lt;=K$6,ROUNDDOWN(($F54-$E54+1)*$H54,0)+$E54-1&gt;=K$6)</formula>
    </cfRule>
    <cfRule type="expression" dxfId="8" priority="82">
      <formula>AND(NOT(ISBLANK($E54)),$E54&lt;=K$6,$F54&gt;=K$6)</formula>
    </cfRule>
  </conditionalFormatting>
  <conditionalFormatting sqref="K61:BN61">
    <cfRule type="expression" dxfId="7" priority="73">
      <formula>AND(#REF!&lt;=K$6,ROUNDDOWN((#REF!-#REF!+1)*#REF!,0)+#REF!-1&gt;=K$6)</formula>
    </cfRule>
    <cfRule type="expression" dxfId="6" priority="74">
      <formula>AND(NOT(ISBLANK(#REF!)),#REF!&lt;=K$6,#REF!&gt;=K$6)</formula>
    </cfRule>
  </conditionalFormatting>
  <conditionalFormatting sqref="K62:BN68">
    <cfRule type="expression" dxfId="5" priority="59">
      <formula>AND($E63&lt;=K$6,ROUNDDOWN(($F63-$E63+1)*$H63,0)+$E63-1&gt;=K$6)</formula>
    </cfRule>
    <cfRule type="expression" dxfId="4" priority="60">
      <formula>AND(NOT(ISBLANK($E63)),$E63&lt;=K$6,$F63&gt;=K$6)</formula>
    </cfRule>
  </conditionalFormatting>
  <conditionalFormatting sqref="L35:BH35 K36:BH36">
    <cfRule type="expression" dxfId="3" priority="3">
      <formula>AND($E34&lt;=K$6,ROUNDDOWN(($F35-$E34+1)*$H35,0)+$E34-1&gt;=K$6)</formula>
    </cfRule>
    <cfRule type="expression" dxfId="2" priority="4">
      <formula>AND(NOT(ISBLANK($E34)),$E34&lt;=K$6,$F35&gt;=K$6)</formula>
    </cfRule>
  </conditionalFormatting>
  <conditionalFormatting sqref="L35:BN35 K36:BN36">
    <cfRule type="expression" dxfId="1" priority="65">
      <formula>AND(#REF!&lt;=K$6,ROUNDDOWN(($F35-#REF!+1)*$H35,0)+#REF!-1&gt;=K$6)</formula>
    </cfRule>
    <cfRule type="expression" dxfId="0" priority="66">
      <formula>AND(NOT(ISBLANK(#REF!)),#REF!&lt;=K$6,$F35&gt;=K$6)</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A64:B64 B63 E21 E34 E43 G21 G34 G43" unlockedFormula="1"/>
    <ignoredError sqref="A34 A21"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10</xdr:col>
                    <xdr:colOff>152400</xdr:colOff>
                    <xdr:row>1</xdr:row>
                    <xdr:rowOff>85725</xdr:rowOff>
                  </from>
                  <to>
                    <xdr:col>28</xdr:col>
                    <xdr:colOff>114300</xdr:colOff>
                    <xdr:row>2</xdr:row>
                    <xdr:rowOff>76200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H44:H47 H22:H33 H49:H52 H35:H42 H8:H20 H59:H61 H63:H69 H54:H57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4702910-f6d2-4863-b108-84849bc2335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CB545EDB3FED42AEDC9C876E08A802" ma:contentTypeVersion="8" ma:contentTypeDescription="Create a new document." ma:contentTypeScope="" ma:versionID="c8ff32027ebe8a45262dffb5b41b6e71">
  <xsd:schema xmlns:xsd="http://www.w3.org/2001/XMLSchema" xmlns:xs="http://www.w3.org/2001/XMLSchema" xmlns:p="http://schemas.microsoft.com/office/2006/metadata/properties" xmlns:ns3="54702910-f6d2-4863-b108-84849bc2335a" xmlns:ns4="93b1d675-fdbb-43b7-a87c-84e964be2281" targetNamespace="http://schemas.microsoft.com/office/2006/metadata/properties" ma:root="true" ma:fieldsID="22f2360d34c146cf0c25e39f394a55b1" ns3:_="" ns4:_="">
    <xsd:import namespace="54702910-f6d2-4863-b108-84849bc2335a"/>
    <xsd:import namespace="93b1d675-fdbb-43b7-a87c-84e964be228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_activit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02910-f6d2-4863-b108-84849bc233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b1d675-fdbb-43b7-a87c-84e964be228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6EBCF0-F835-47D1-BF2A-B52FA759A678}">
  <ds:schemaRefs>
    <ds:schemaRef ds:uri="http://schemas.microsoft.com/sharepoint/v3/contenttype/forms"/>
  </ds:schemaRefs>
</ds:datastoreItem>
</file>

<file path=customXml/itemProps2.xml><?xml version="1.0" encoding="utf-8"?>
<ds:datastoreItem xmlns:ds="http://schemas.openxmlformats.org/officeDocument/2006/customXml" ds:itemID="{4D1CB840-48B4-4AF7-87AD-FA0B7213C4A1}">
  <ds:schemaRef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93b1d675-fdbb-43b7-a87c-84e964be2281"/>
    <ds:schemaRef ds:uri="http://purl.org/dc/terms/"/>
    <ds:schemaRef ds:uri="http://purl.org/dc/dcmitype/"/>
    <ds:schemaRef ds:uri="54702910-f6d2-4863-b108-84849bc2335a"/>
    <ds:schemaRef ds:uri="http://schemas.microsoft.com/office/2006/metadata/properties"/>
  </ds:schemaRefs>
</ds:datastoreItem>
</file>

<file path=customXml/itemProps3.xml><?xml version="1.0" encoding="utf-8"?>
<ds:datastoreItem xmlns:ds="http://schemas.openxmlformats.org/officeDocument/2006/customXml" ds:itemID="{5D023404-1072-428C-AF68-C176329DF4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2910-f6d2-4863-b108-84849bc2335a"/>
    <ds:schemaRef ds:uri="93b1d675-fdbb-43b7-a87c-84e964be22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Parry Zhuo</cp:lastModifiedBy>
  <cp:lastPrinted>2018-02-12T20:25:38Z</cp:lastPrinted>
  <dcterms:created xsi:type="dcterms:W3CDTF">2010-06-09T16:05:03Z</dcterms:created>
  <dcterms:modified xsi:type="dcterms:W3CDTF">2026-01-04T02:07:29Z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y fmtid="{D5CDD505-2E9C-101B-9397-08002B2CF9AE}" pid="5" name="ContentTypeId">
    <vt:lpwstr>0x010100A4CB545EDB3FED42AEDC9C876E08A802</vt:lpwstr>
  </property>
</Properties>
</file>