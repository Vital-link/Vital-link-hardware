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rry\Documents\GITHUB_desktop\Vital-link-hardware\BOM\"/>
    </mc:Choice>
  </mc:AlternateContent>
  <xr:revisionPtr revIDLastSave="0" documentId="13_ncr:1_{9BC9DD7D-9458-4271-AE2A-85B69E59FCEC}" xr6:coauthVersionLast="47" xr6:coauthVersionMax="47" xr10:uidLastSave="{00000000-0000-0000-0000-000000000000}"/>
  <bookViews>
    <workbookView xWindow="-105" yWindow="0" windowWidth="14610" windowHeight="17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H15" i="1"/>
  <c r="H16" i="1"/>
  <c r="H13" i="1"/>
  <c r="H12" i="1"/>
  <c r="H11" i="1"/>
  <c r="F22" i="1" l="1"/>
  <c r="F23" i="1"/>
  <c r="F24" i="1" s="1"/>
</calcChain>
</file>

<file path=xl/sharedStrings.xml><?xml version="1.0" encoding="utf-8"?>
<sst xmlns="http://schemas.openxmlformats.org/spreadsheetml/2006/main" count="42" uniqueCount="42">
  <si>
    <t>BOM #:</t>
  </si>
  <si>
    <t>Group:</t>
  </si>
  <si>
    <t>Multi-Sensor Health Monitoring System</t>
  </si>
  <si>
    <t>Names:</t>
  </si>
  <si>
    <t>Zhuo, Parry</t>
  </si>
  <si>
    <t>Purohit, Jishiv</t>
  </si>
  <si>
    <t>Brar, Akashdeep</t>
  </si>
  <si>
    <t>Inguito, Ryan</t>
  </si>
  <si>
    <t>Mentor:</t>
  </si>
  <si>
    <t>Bob Gill</t>
  </si>
  <si>
    <t>Address:</t>
  </si>
  <si>
    <t>BCIT SW1-3069</t>
  </si>
  <si>
    <t>#</t>
  </si>
  <si>
    <t>Link</t>
  </si>
  <si>
    <t>Manufacturer Part Number</t>
  </si>
  <si>
    <t>Description</t>
  </si>
  <si>
    <t>Quantity</t>
  </si>
  <si>
    <t>Shipping Price</t>
  </si>
  <si>
    <t>Unit Price</t>
  </si>
  <si>
    <t>Cost</t>
  </si>
  <si>
    <t>Notes</t>
  </si>
  <si>
    <t>https://www.digikey.ca/en/products/detail/seeed-technology-co-ltd/102010448/16652893</t>
  </si>
  <si>
    <t>Seeed Technology Co., Ltd</t>
  </si>
  <si>
    <t>XIAO NRF52840</t>
  </si>
  <si>
    <t>Nordic Microcontroller. Used as node</t>
  </si>
  <si>
    <t>https://www.digikey.ca/en/products/detail/analog-devices-inc-maxim-integrated/MAXREFDES117/6165562</t>
  </si>
  <si>
    <t>MAXREFDES117#</t>
  </si>
  <si>
    <t>MAX1921, MAX14595, MAX30102 - Medical, Pulse Oximeter (PO or SpO2) Sensor Evaluation Board</t>
  </si>
  <si>
    <t>https://www.digikey.ca/en/products/detail/mikroelektronika/MIKROE-2554/7035340</t>
  </si>
  <si>
    <t>1471-1754-ND</t>
  </si>
  <si>
    <t>MAX30205 Temperature Sensor mikroBUS™ Click™ Platform Evaluation Expansion Board</t>
  </si>
  <si>
    <t>SUBTOTAL</t>
  </si>
  <si>
    <t>TAX (12%)</t>
  </si>
  <si>
    <t>TOTAL</t>
  </si>
  <si>
    <t>https://www.digikey.ca/en/mylists/list/YB1AS4802V</t>
  </si>
  <si>
    <t>HERE'S A LIST OF ALL THE COMPONENTS on digikey</t>
  </si>
  <si>
    <t>https://www.digikey.ca/en/products/detail/sparkfun-electronics/12650/5824153</t>
  </si>
  <si>
    <t>EVAL BOARD FOR AD8232</t>
  </si>
  <si>
    <t>https://www.digikey.ca/en/products/detail/sparkfun-electronics/12970/6833933</t>
  </si>
  <si>
    <t>SENSOR CABLE - ELECTRODE PADS (3</t>
  </si>
  <si>
    <t>https://www.digikey.ca/en/products/detail/sparkfun-electronics/12969/6163652</t>
  </si>
  <si>
    <t>SENSOR BIOMEDICAL PADS 1=10PCS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</si>
</sst>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3" x14ac:knownFonts="1">
    <font>
      <sz val="10"/>
      <color rgb="FF000000"/>
      <name val="Arial"/>
      <scheme val="minor"/>
    </font>
    <font>
      <sz val="14"/>
      <color rgb="FF000000"/>
      <name val="Arial"/>
    </font>
    <font>
      <sz val="10"/>
      <color rgb="FF000000"/>
      <name val="Arial"/>
    </font>
    <font>
      <sz val="14"/>
      <color rgb="FF000000"/>
      <name val="Calibri"/>
    </font>
    <font>
      <sz val="10"/>
      <name val="Arial"/>
    </font>
    <font>
      <b/>
      <sz val="16"/>
      <color rgb="FF000000"/>
      <name val="Arial"/>
    </font>
    <font>
      <u/>
      <sz val="10"/>
      <color rgb="FF0000FF"/>
      <name val="Arial"/>
    </font>
    <font>
      <sz val="10"/>
      <color rgb="FF000000"/>
      <name val="Arial"/>
    </font>
    <font>
      <sz val="10"/>
      <color rgb="FF222222"/>
      <name val="Roboto"/>
    </font>
    <font>
      <u/>
      <sz val="10"/>
      <color rgb="FF0000FF"/>
      <name val="Arial"/>
    </font>
    <font>
      <sz val="14"/>
      <color theme="1"/>
      <name val="Arial"/>
    </font>
    <font>
      <b/>
      <sz val="14"/>
      <color rgb="FF000000"/>
      <name val="Arial"/>
    </font>
    <font>
      <b/>
      <sz val="14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0" xfId="0" applyFont="1"/>
    <xf numFmtId="0" fontId="3" fillId="2" borderId="0" xfId="0" applyFont="1" applyFill="1"/>
    <xf numFmtId="0" fontId="1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6" fillId="0" borderId="0" xfId="0" applyFont="1"/>
    <xf numFmtId="0" fontId="7" fillId="0" borderId="1" xfId="0" applyFont="1" applyBorder="1" applyAlignment="1">
      <alignment horizontal="left"/>
    </xf>
    <xf numFmtId="0" fontId="7" fillId="0" borderId="0" xfId="0" applyFont="1"/>
    <xf numFmtId="0" fontId="7" fillId="0" borderId="1" xfId="0" applyFont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164" fontId="8" fillId="2" borderId="0" xfId="0" applyNumberFormat="1" applyFont="1" applyFill="1" applyAlignment="1">
      <alignment horizontal="right"/>
    </xf>
    <xf numFmtId="0" fontId="7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" fillId="0" borderId="0" xfId="0" applyFont="1" applyAlignment="1">
      <alignment horizontal="left"/>
    </xf>
    <xf numFmtId="0" fontId="11" fillId="0" borderId="1" xfId="0" applyFont="1" applyBorder="1"/>
    <xf numFmtId="0" fontId="12" fillId="3" borderId="0" xfId="0" applyFont="1" applyFill="1"/>
    <xf numFmtId="0" fontId="2" fillId="3" borderId="0" xfId="0" applyFont="1" applyFill="1"/>
    <xf numFmtId="0" fontId="1" fillId="0" borderId="0" xfId="0" applyFont="1" applyAlignment="1">
      <alignment horizontal="right"/>
    </xf>
    <xf numFmtId="0" fontId="7" fillId="0" borderId="6" xfId="0" applyFont="1" applyBorder="1"/>
    <xf numFmtId="0" fontId="7" fillId="0" borderId="2" xfId="0" applyFont="1" applyBorder="1" applyAlignment="1">
      <alignment horizontal="left"/>
    </xf>
    <xf numFmtId="0" fontId="7" fillId="0" borderId="2" xfId="0" applyFont="1" applyBorder="1"/>
    <xf numFmtId="0" fontId="7" fillId="0" borderId="2" xfId="0" applyFont="1" applyBorder="1" applyAlignment="1">
      <alignment horizontal="right"/>
    </xf>
    <xf numFmtId="164" fontId="7" fillId="0" borderId="2" xfId="0" applyNumberFormat="1" applyFont="1" applyBorder="1" applyAlignment="1">
      <alignment horizontal="right"/>
    </xf>
    <xf numFmtId="0" fontId="9" fillId="0" borderId="4" xfId="0" applyFont="1" applyBorder="1"/>
    <xf numFmtId="0" fontId="7" fillId="0" borderId="4" xfId="0" applyFont="1" applyBorder="1" applyAlignment="1">
      <alignment horizontal="left"/>
    </xf>
    <xf numFmtId="0" fontId="7" fillId="0" borderId="4" xfId="0" applyFont="1" applyBorder="1"/>
    <xf numFmtId="0" fontId="7" fillId="0" borderId="4" xfId="0" applyFont="1" applyBorder="1" applyAlignment="1">
      <alignment horizontal="right"/>
    </xf>
    <xf numFmtId="164" fontId="7" fillId="0" borderId="4" xfId="0" applyNumberFormat="1" applyFont="1" applyBorder="1" applyAlignment="1">
      <alignment horizontal="right"/>
    </xf>
    <xf numFmtId="0" fontId="0" fillId="0" borderId="7" xfId="0" applyBorder="1"/>
    <xf numFmtId="0" fontId="2" fillId="0" borderId="7" xfId="0" applyFont="1" applyBorder="1" applyAlignment="1">
      <alignment horizontal="right"/>
    </xf>
    <xf numFmtId="0" fontId="0" fillId="0" borderId="7" xfId="0" applyBorder="1" applyAlignment="1">
      <alignment horizontal="left"/>
    </xf>
    <xf numFmtId="0" fontId="1" fillId="0" borderId="2" xfId="0" applyFont="1" applyBorder="1" applyAlignment="1">
      <alignment horizontal="left" vertical="top"/>
    </xf>
    <xf numFmtId="0" fontId="4" fillId="0" borderId="3" xfId="0" applyFont="1" applyBorder="1"/>
    <xf numFmtId="0" fontId="4" fillId="0" borderId="4" xfId="0" applyFont="1" applyBorder="1"/>
    <xf numFmtId="164" fontId="1" fillId="0" borderId="5" xfId="0" applyNumberFormat="1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164" fontId="11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a/en/products/detail/mikroelektronika/MIKROE-2554/7035340" TargetMode="External"/><Relationship Id="rId2" Type="http://schemas.openxmlformats.org/officeDocument/2006/relationships/hyperlink" Target="https://www.digikey.ca/en/products/detail/analog-devices-inc-maxim-integrated/MAXREFDES117/6165562" TargetMode="External"/><Relationship Id="rId1" Type="http://schemas.openxmlformats.org/officeDocument/2006/relationships/hyperlink" Target="https://www.digikey.ca/en/products/detail/seeed-technology-co-ltd/102010448/166528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5"/>
  <sheetViews>
    <sheetView tabSelected="1" zoomScale="84" zoomScaleNormal="100" workbookViewId="0">
      <selection activeCell="C6" sqref="C6"/>
    </sheetView>
  </sheetViews>
  <sheetFormatPr defaultColWidth="12.5703125" defaultRowHeight="15.75" customHeight="1" x14ac:dyDescent="0.2"/>
  <cols>
    <col min="1" max="1" width="16.42578125" customWidth="1"/>
    <col min="2" max="2" width="79.140625" customWidth="1"/>
    <col min="3" max="3" width="34.5703125" customWidth="1"/>
    <col min="4" max="4" width="28.28515625" customWidth="1"/>
    <col min="9" max="9" width="31.42578125" customWidth="1"/>
  </cols>
  <sheetData>
    <row r="1" spans="1:9" ht="15.75" customHeight="1" x14ac:dyDescent="0.25">
      <c r="A1" s="1" t="s">
        <v>0</v>
      </c>
      <c r="B1" s="1">
        <v>1</v>
      </c>
      <c r="C1" s="19" t="s">
        <v>35</v>
      </c>
      <c r="D1" s="20"/>
      <c r="E1" s="2"/>
      <c r="F1" s="2"/>
      <c r="G1" s="2"/>
      <c r="H1" s="2"/>
      <c r="I1" s="2"/>
    </row>
    <row r="2" spans="1:9" ht="15.75" customHeight="1" x14ac:dyDescent="0.3">
      <c r="A2" s="1" t="s">
        <v>1</v>
      </c>
      <c r="B2" s="3" t="s">
        <v>2</v>
      </c>
      <c r="C2" s="19" t="s">
        <v>34</v>
      </c>
      <c r="D2" s="20"/>
      <c r="E2" s="2"/>
      <c r="F2" s="2"/>
      <c r="G2" s="2"/>
      <c r="H2" s="2"/>
      <c r="I2" s="2"/>
    </row>
    <row r="3" spans="1:9" ht="15.75" customHeight="1" x14ac:dyDescent="0.25">
      <c r="A3" s="35" t="s">
        <v>3</v>
      </c>
      <c r="B3" s="1" t="s">
        <v>4</v>
      </c>
      <c r="C3" s="2"/>
      <c r="D3" s="2"/>
      <c r="E3" s="2"/>
      <c r="F3" s="2"/>
      <c r="G3" s="2"/>
      <c r="H3" s="2"/>
      <c r="I3" s="2"/>
    </row>
    <row r="4" spans="1:9" ht="15.75" customHeight="1" x14ac:dyDescent="0.25">
      <c r="A4" s="36"/>
      <c r="B4" s="4" t="s">
        <v>5</v>
      </c>
      <c r="D4" s="2"/>
      <c r="E4" s="2"/>
      <c r="F4" s="2"/>
      <c r="G4" s="2"/>
      <c r="H4" s="2"/>
      <c r="I4" s="2"/>
    </row>
    <row r="5" spans="1:9" ht="15.75" customHeight="1" x14ac:dyDescent="0.25">
      <c r="A5" s="36"/>
      <c r="B5" s="4" t="s">
        <v>6</v>
      </c>
      <c r="D5" s="2"/>
      <c r="E5" s="2"/>
      <c r="F5" s="2"/>
      <c r="G5" s="2"/>
      <c r="H5" s="2"/>
      <c r="I5" s="2"/>
    </row>
    <row r="6" spans="1:9" ht="15.75" customHeight="1" x14ac:dyDescent="0.25">
      <c r="A6" s="37"/>
      <c r="B6" s="1" t="s">
        <v>7</v>
      </c>
      <c r="C6" s="2"/>
      <c r="D6" s="2"/>
      <c r="E6" s="2"/>
      <c r="F6" s="2"/>
      <c r="G6" s="2"/>
      <c r="H6" s="2"/>
      <c r="I6" s="2"/>
    </row>
    <row r="7" spans="1:9" ht="15.75" customHeight="1" x14ac:dyDescent="0.25">
      <c r="A7" s="1" t="s">
        <v>8</v>
      </c>
      <c r="B7" s="1" t="s">
        <v>9</v>
      </c>
      <c r="C7" s="2"/>
      <c r="D7" s="2"/>
      <c r="E7" s="2"/>
      <c r="F7" s="2"/>
      <c r="G7" s="2"/>
      <c r="H7" s="2"/>
      <c r="I7" s="2"/>
    </row>
    <row r="8" spans="1:9" ht="15.75" customHeight="1" x14ac:dyDescent="0.25">
      <c r="A8" s="1" t="s">
        <v>10</v>
      </c>
      <c r="B8" s="1" t="s">
        <v>11</v>
      </c>
      <c r="C8" s="2"/>
      <c r="D8" s="2"/>
      <c r="E8" s="2"/>
      <c r="F8" s="2"/>
      <c r="G8" s="2"/>
      <c r="H8" s="2"/>
      <c r="I8" s="2"/>
    </row>
    <row r="9" spans="1:9" ht="15.75" customHeight="1" x14ac:dyDescent="0.25">
      <c r="A9" s="4"/>
      <c r="B9" s="2"/>
      <c r="C9" s="2"/>
      <c r="D9" s="2"/>
      <c r="E9" s="2"/>
      <c r="F9" s="2"/>
      <c r="G9" s="2"/>
      <c r="H9" s="2"/>
      <c r="I9" s="2"/>
    </row>
    <row r="10" spans="1:9" ht="15.75" customHeight="1" x14ac:dyDescent="0.3">
      <c r="A10" s="5" t="s">
        <v>12</v>
      </c>
      <c r="B10" s="5" t="s">
        <v>13</v>
      </c>
      <c r="C10" s="6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</row>
    <row r="11" spans="1:9" ht="15.75" customHeight="1" x14ac:dyDescent="0.25">
      <c r="A11" s="7">
        <v>1</v>
      </c>
      <c r="B11" s="8" t="s">
        <v>21</v>
      </c>
      <c r="C11" s="9" t="s">
        <v>22</v>
      </c>
      <c r="D11" s="10" t="s">
        <v>23</v>
      </c>
      <c r="E11" s="11">
        <v>3</v>
      </c>
      <c r="F11" s="12">
        <v>0</v>
      </c>
      <c r="G11" s="13">
        <v>15.83</v>
      </c>
      <c r="H11" s="12">
        <f t="shared" ref="H11" si="0">G11*E11</f>
        <v>47.49</v>
      </c>
      <c r="I11" s="14" t="s">
        <v>24</v>
      </c>
    </row>
    <row r="12" spans="1:9" ht="15.75" customHeight="1" x14ac:dyDescent="0.25">
      <c r="A12" s="7">
        <v>3</v>
      </c>
      <c r="B12" s="8" t="s">
        <v>25</v>
      </c>
      <c r="C12" s="9" t="s">
        <v>26</v>
      </c>
      <c r="D12" s="14" t="s">
        <v>27</v>
      </c>
      <c r="E12" s="11">
        <v>1</v>
      </c>
      <c r="F12" s="12">
        <v>0</v>
      </c>
      <c r="G12" s="12">
        <v>28.08</v>
      </c>
      <c r="H12" s="12">
        <f>G12*E12</f>
        <v>28.08</v>
      </c>
      <c r="I12" s="14"/>
    </row>
    <row r="13" spans="1:9" ht="15.75" customHeight="1" x14ac:dyDescent="0.25">
      <c r="A13" s="7">
        <v>4</v>
      </c>
      <c r="B13" s="8" t="s">
        <v>28</v>
      </c>
      <c r="C13" s="23" t="s">
        <v>29</v>
      </c>
      <c r="D13" s="24" t="s">
        <v>30</v>
      </c>
      <c r="E13" s="25">
        <v>1</v>
      </c>
      <c r="F13" s="26">
        <v>0</v>
      </c>
      <c r="G13" s="26">
        <v>19.2</v>
      </c>
      <c r="H13" s="26">
        <f>G13*E13</f>
        <v>19.2</v>
      </c>
      <c r="I13" s="14"/>
    </row>
    <row r="14" spans="1:9" ht="15.75" customHeight="1" x14ac:dyDescent="0.25">
      <c r="A14" s="21">
        <v>5</v>
      </c>
      <c r="B14" s="32" t="s">
        <v>36</v>
      </c>
      <c r="C14" s="34">
        <v>12650</v>
      </c>
      <c r="D14" s="32" t="s">
        <v>37</v>
      </c>
      <c r="E14" s="33">
        <v>1</v>
      </c>
      <c r="F14" s="26">
        <v>0</v>
      </c>
      <c r="G14" s="32">
        <v>38.78</v>
      </c>
      <c r="H14" s="26">
        <f t="shared" ref="H14:H16" si="1">G14*E14</f>
        <v>38.78</v>
      </c>
      <c r="I14" s="22"/>
    </row>
    <row r="15" spans="1:9" ht="15.75" customHeight="1" x14ac:dyDescent="0.25">
      <c r="A15" s="7">
        <v>6</v>
      </c>
      <c r="B15" s="27" t="s">
        <v>38</v>
      </c>
      <c r="C15" s="28">
        <v>12970</v>
      </c>
      <c r="D15" s="29" t="s">
        <v>39</v>
      </c>
      <c r="E15" s="30">
        <v>1</v>
      </c>
      <c r="F15" s="26">
        <v>0</v>
      </c>
      <c r="G15" s="31">
        <v>14.31</v>
      </c>
      <c r="H15" s="26">
        <f t="shared" si="1"/>
        <v>14.31</v>
      </c>
      <c r="I15" s="14"/>
    </row>
    <row r="16" spans="1:9" ht="15.75" customHeight="1" x14ac:dyDescent="0.25">
      <c r="A16" s="7">
        <v>7</v>
      </c>
      <c r="B16" s="15" t="s">
        <v>40</v>
      </c>
      <c r="C16" s="9">
        <v>12969</v>
      </c>
      <c r="D16" s="14" t="s">
        <v>41</v>
      </c>
      <c r="E16" s="11">
        <v>1</v>
      </c>
      <c r="F16" s="26">
        <v>0</v>
      </c>
      <c r="G16" s="12">
        <v>15.81</v>
      </c>
      <c r="H16" s="26">
        <f t="shared" si="1"/>
        <v>15.81</v>
      </c>
      <c r="I16" s="14"/>
    </row>
    <row r="17" spans="1:9" ht="15.75" customHeight="1" x14ac:dyDescent="0.25">
      <c r="A17" s="7"/>
      <c r="B17" s="16"/>
      <c r="C17" s="9"/>
      <c r="D17" s="14"/>
      <c r="E17" s="11"/>
      <c r="F17" s="12"/>
      <c r="G17" s="12"/>
      <c r="H17" s="12"/>
      <c r="I17" s="14"/>
    </row>
    <row r="18" spans="1:9" ht="15.75" customHeight="1" x14ac:dyDescent="0.25">
      <c r="A18" s="7"/>
      <c r="B18" s="16"/>
      <c r="C18" s="9"/>
      <c r="D18" s="14"/>
      <c r="E18" s="11"/>
      <c r="F18" s="12"/>
      <c r="G18" s="12"/>
      <c r="H18" s="12"/>
      <c r="I18" s="14"/>
    </row>
    <row r="19" spans="1:9" ht="15.75" customHeight="1" x14ac:dyDescent="0.25">
      <c r="A19" s="7"/>
      <c r="B19" s="16"/>
      <c r="C19" s="9"/>
      <c r="D19" s="14"/>
      <c r="E19" s="11"/>
      <c r="F19" s="12"/>
      <c r="G19" s="12"/>
      <c r="H19" s="12"/>
      <c r="I19" s="14"/>
    </row>
    <row r="20" spans="1:9" ht="15.75" customHeight="1" x14ac:dyDescent="0.25">
      <c r="A20" s="7"/>
      <c r="B20" s="16"/>
      <c r="C20" s="9"/>
      <c r="D20" s="14"/>
      <c r="E20" s="11"/>
      <c r="F20" s="12"/>
      <c r="G20" s="12"/>
      <c r="H20" s="12"/>
      <c r="I20" s="14"/>
    </row>
    <row r="21" spans="1:9" ht="15.75" customHeight="1" x14ac:dyDescent="0.25">
      <c r="A21" s="7"/>
      <c r="B21" s="16"/>
      <c r="C21" s="9"/>
      <c r="D21" s="14"/>
      <c r="E21" s="11"/>
      <c r="F21" s="12"/>
      <c r="G21" s="12"/>
      <c r="H21" s="12"/>
      <c r="I21" s="14"/>
    </row>
    <row r="22" spans="1:9" ht="15.75" customHeight="1" x14ac:dyDescent="0.25">
      <c r="A22" s="4"/>
      <c r="C22" s="17"/>
      <c r="D22" s="4"/>
      <c r="E22" s="18" t="s">
        <v>31</v>
      </c>
      <c r="F22" s="38">
        <f>SUM(H11:H21)</f>
        <v>163.67000000000002</v>
      </c>
      <c r="G22" s="39"/>
      <c r="H22" s="40"/>
      <c r="I22" s="4"/>
    </row>
    <row r="23" spans="1:9" ht="15.75" customHeight="1" x14ac:dyDescent="0.25">
      <c r="A23" s="4"/>
      <c r="C23" s="17"/>
      <c r="D23" s="4"/>
      <c r="E23" s="18" t="s">
        <v>32</v>
      </c>
      <c r="F23" s="38">
        <f>F22*0.12</f>
        <v>19.6404</v>
      </c>
      <c r="G23" s="39"/>
      <c r="H23" s="40"/>
      <c r="I23" s="4"/>
    </row>
    <row r="24" spans="1:9" ht="15.75" customHeight="1" x14ac:dyDescent="0.25">
      <c r="A24" s="4"/>
      <c r="B24" s="4"/>
      <c r="C24" s="17"/>
      <c r="D24" s="4"/>
      <c r="E24" s="18" t="s">
        <v>33</v>
      </c>
      <c r="F24" s="41">
        <f>SUM(F22:H23)</f>
        <v>183.31040000000002</v>
      </c>
      <c r="G24" s="39"/>
      <c r="H24" s="40"/>
      <c r="I24" s="4"/>
    </row>
    <row r="25" spans="1:9" ht="15.75" customHeight="1" x14ac:dyDescent="0.25">
      <c r="A25" s="4"/>
      <c r="B25" s="4"/>
      <c r="C25" s="17"/>
      <c r="D25" s="4"/>
      <c r="E25" s="4"/>
      <c r="F25" s="4"/>
      <c r="G25" s="4"/>
      <c r="H25" s="4"/>
      <c r="I25" s="4"/>
    </row>
  </sheetData>
  <mergeCells count="4">
    <mergeCell ref="A3:A6"/>
    <mergeCell ref="F22:H22"/>
    <mergeCell ref="F23:H23"/>
    <mergeCell ref="F24:H24"/>
  </mergeCells>
  <hyperlinks>
    <hyperlink ref="B11" r:id="rId1" xr:uid="{00000000-0004-0000-0000-000000000000}"/>
    <hyperlink ref="B12" r:id="rId2" xr:uid="{00000000-0004-0000-0000-000002000000}"/>
    <hyperlink ref="B13" r:id="rId3" xr:uid="{00000000-0004-0000-00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Parry</dc:creator>
  <cp:lastModifiedBy>Parry Zhuo</cp:lastModifiedBy>
  <dcterms:created xsi:type="dcterms:W3CDTF">2025-10-30T21:13:03Z</dcterms:created>
  <dcterms:modified xsi:type="dcterms:W3CDTF">2025-11-21T05:24:50Z</dcterms:modified>
</cp:coreProperties>
</file>